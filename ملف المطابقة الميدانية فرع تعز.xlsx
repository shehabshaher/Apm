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_ariqi\Desktop\"/>
    </mc:Choice>
  </mc:AlternateContent>
  <xr:revisionPtr revIDLastSave="0" documentId="8_{DC622C41-2FE2-1E4A-A49A-88C8CABC4A02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الاصل" sheetId="1" state="hidden" r:id="rId1"/>
    <sheet name="فرع تعز " sheetId="5" r:id="rId2"/>
    <sheet name="عملاء عمران " sheetId="2" state="hidden" r:id="rId3"/>
  </sheets>
  <definedNames>
    <definedName name="_xlnm._FilterDatabase" localSheetId="2" hidden="1">'عملاء عمران '!$A$6:$J$376</definedName>
    <definedName name="_xlnm._FilterDatabase" localSheetId="1" hidden="1">'فرع تعز '!$A$1:$J$293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5" i="5" l="1"/>
  <c r="A166" i="5"/>
  <c r="A164" i="5"/>
  <c r="A127" i="5"/>
  <c r="A176" i="5"/>
  <c r="A209" i="5"/>
  <c r="A167" i="5"/>
  <c r="A290" i="5"/>
  <c r="A237" i="5"/>
  <c r="A106" i="5"/>
  <c r="A129" i="5"/>
  <c r="A168" i="5"/>
  <c r="A170" i="5"/>
  <c r="A132" i="5"/>
  <c r="A236" i="5"/>
  <c r="A271" i="5"/>
  <c r="A238" i="5"/>
  <c r="A53" i="5"/>
  <c r="A134" i="5"/>
  <c r="A118" i="5"/>
  <c r="A152" i="5"/>
  <c r="A163" i="5"/>
  <c r="A187" i="5"/>
  <c r="A188" i="5"/>
  <c r="A242" i="5"/>
  <c r="A171" i="5"/>
  <c r="A244" i="5"/>
  <c r="A112" i="5"/>
  <c r="A162" i="5"/>
  <c r="A114" i="5"/>
  <c r="A174" i="5"/>
  <c r="A268" i="5"/>
  <c r="A145" i="5"/>
  <c r="A239" i="5"/>
  <c r="A192" i="5"/>
  <c r="A13" i="5"/>
  <c r="A57" i="5"/>
  <c r="A293" i="5"/>
  <c r="A194" i="5"/>
  <c r="A193" i="5"/>
  <c r="A291" i="5"/>
  <c r="A284" i="5"/>
  <c r="A285" i="5"/>
  <c r="A283" i="5"/>
  <c r="A11" i="5"/>
  <c r="A287" i="5"/>
  <c r="A94" i="5"/>
  <c r="A12" i="5"/>
  <c r="A190" i="5"/>
  <c r="A156" i="5"/>
  <c r="A199" i="5"/>
  <c r="A191" i="5"/>
  <c r="A98" i="5"/>
  <c r="A198" i="5"/>
  <c r="A266" i="5"/>
  <c r="A232" i="5"/>
  <c r="A157" i="5"/>
  <c r="A133" i="5"/>
  <c r="A247" i="5"/>
  <c r="A146" i="5"/>
  <c r="A179" i="5"/>
  <c r="A207" i="5"/>
  <c r="A137" i="5"/>
  <c r="A172" i="5"/>
  <c r="A218" i="5"/>
  <c r="A173" i="5"/>
  <c r="A138" i="5"/>
  <c r="A50" i="5"/>
  <c r="A101" i="5"/>
  <c r="A184" i="5"/>
  <c r="A151" i="5"/>
  <c r="A26" i="5"/>
  <c r="A195" i="5"/>
  <c r="A189" i="5"/>
  <c r="A223" i="5"/>
  <c r="A119" i="5"/>
  <c r="A292" i="5"/>
  <c r="A91" i="5"/>
  <c r="A275" i="5"/>
  <c r="A15" i="5"/>
  <c r="A214" i="5"/>
  <c r="A265" i="5"/>
  <c r="A31" i="5"/>
  <c r="A76" i="5"/>
  <c r="A249" i="5"/>
  <c r="A204" i="5"/>
  <c r="A75" i="5"/>
  <c r="A10" i="5"/>
  <c r="A197" i="5"/>
  <c r="A229" i="5"/>
  <c r="A282" i="5"/>
  <c r="A62" i="5"/>
  <c r="A17" i="5"/>
  <c r="A182" i="5"/>
  <c r="A144" i="5"/>
  <c r="A252" i="5"/>
  <c r="A224" i="5"/>
  <c r="A250" i="5"/>
  <c r="A200" i="5"/>
  <c r="A96" i="5"/>
  <c r="A19" i="5"/>
  <c r="A59" i="5"/>
  <c r="A95" i="5"/>
  <c r="A18" i="5"/>
  <c r="A186" i="5"/>
  <c r="A165" i="5"/>
  <c r="A246" i="5"/>
  <c r="A201" i="5"/>
  <c r="A102" i="5"/>
  <c r="A230" i="5"/>
  <c r="A216" i="5"/>
  <c r="A84" i="5"/>
  <c r="A69" i="5"/>
  <c r="A169" i="5"/>
  <c r="A71" i="5"/>
  <c r="A68" i="5"/>
  <c r="A254" i="5"/>
  <c r="A77" i="5"/>
  <c r="A14" i="5"/>
  <c r="A93" i="5"/>
  <c r="A61" i="5"/>
  <c r="A65" i="5"/>
  <c r="A74" i="5"/>
  <c r="A88" i="5"/>
  <c r="A99" i="5"/>
  <c r="A83" i="5"/>
  <c r="A203" i="5"/>
  <c r="A64" i="5"/>
  <c r="A7" i="5"/>
  <c r="A80" i="5"/>
  <c r="A6" i="5"/>
  <c r="A288" i="5"/>
  <c r="A70" i="5"/>
  <c r="A5" i="5"/>
  <c r="A255" i="5"/>
  <c r="A202" i="5"/>
  <c r="A208" i="5"/>
  <c r="A289" i="5"/>
  <c r="A2" i="5"/>
  <c r="A196" i="5"/>
  <c r="A79" i="5"/>
  <c r="A8" i="5"/>
  <c r="A81" i="5"/>
  <c r="A225" i="5"/>
  <c r="A211" i="5"/>
  <c r="A226" i="5"/>
  <c r="A100" i="5"/>
  <c r="A73" i="5"/>
  <c r="A72" i="5"/>
  <c r="A286" i="5"/>
  <c r="A281" i="5"/>
  <c r="A228" i="5"/>
  <c r="A251" i="5"/>
  <c r="A279" i="5"/>
  <c r="A82" i="5"/>
  <c r="A111" i="5"/>
  <c r="A219" i="5"/>
  <c r="A103" i="5"/>
  <c r="A222" i="5"/>
  <c r="A220" i="5"/>
  <c r="A92" i="5"/>
  <c r="A97" i="5"/>
  <c r="A205" i="5"/>
  <c r="A3" i="5"/>
  <c r="A253" i="5"/>
  <c r="A60" i="5"/>
  <c r="A89" i="5"/>
  <c r="A90" i="5"/>
  <c r="A87" i="5"/>
  <c r="A20" i="5"/>
  <c r="A227" i="5"/>
  <c r="A109" i="5"/>
  <c r="A280" i="5"/>
  <c r="A63" i="5"/>
  <c r="A86" i="5"/>
  <c r="A66" i="5"/>
  <c r="A256" i="5"/>
  <c r="A67" i="5"/>
  <c r="A104" i="5"/>
  <c r="A58" i="5"/>
  <c r="A78" i="5"/>
  <c r="A85" i="5"/>
  <c r="A294" i="5"/>
  <c r="A143" i="5"/>
  <c r="A125" i="5"/>
  <c r="A123" i="5"/>
  <c r="A117" i="5"/>
  <c r="A212" i="5"/>
  <c r="A122" i="5"/>
  <c r="A154" i="5"/>
  <c r="A116" i="5"/>
  <c r="A150" i="5"/>
  <c r="A234" i="5"/>
  <c r="A135" i="5"/>
  <c r="A126" i="5"/>
  <c r="A130" i="5"/>
  <c r="A153" i="5"/>
  <c r="A142" i="5"/>
  <c r="A233" i="5"/>
  <c r="A231" i="5"/>
  <c r="A160" i="5"/>
  <c r="A136" i="5"/>
  <c r="A210" i="5"/>
  <c r="A140" i="5"/>
  <c r="A44" i="5"/>
  <c r="A115" i="5"/>
  <c r="A180" i="5"/>
  <c r="A240" i="5"/>
  <c r="A159" i="5"/>
  <c r="A148" i="5"/>
  <c r="A139" i="5"/>
  <c r="A158" i="5"/>
  <c r="A213" i="5"/>
  <c r="A235" i="5"/>
  <c r="A260" i="5"/>
  <c r="A177" i="5"/>
  <c r="A161" i="5"/>
  <c r="A141" i="5"/>
  <c r="A185" i="5"/>
  <c r="A35" i="5"/>
  <c r="A175" i="5"/>
  <c r="A149" i="5"/>
  <c r="A113" i="5"/>
  <c r="A124" i="5"/>
  <c r="A261" i="5"/>
  <c r="A258" i="5"/>
  <c r="A278" i="5"/>
  <c r="A56" i="5"/>
  <c r="A273" i="5"/>
  <c r="A107" i="5"/>
  <c r="A105" i="5"/>
  <c r="A108" i="5"/>
  <c r="A120" i="5"/>
  <c r="A270" i="5"/>
  <c r="A272" i="5"/>
  <c r="A30" i="5"/>
  <c r="A262" i="5"/>
  <c r="A276" i="5"/>
  <c r="A52" i="5"/>
  <c r="A248" i="5"/>
  <c r="A33" i="5"/>
  <c r="A217" i="5"/>
  <c r="A257" i="5"/>
  <c r="A259" i="5"/>
  <c r="A241" i="5"/>
  <c r="A245" i="5"/>
  <c r="A274" i="5"/>
  <c r="A45" i="5"/>
  <c r="A23" i="5"/>
  <c r="A221" i="5"/>
  <c r="A24" i="5"/>
  <c r="A21" i="5"/>
  <c r="A181" i="5"/>
  <c r="A40" i="5"/>
  <c r="A47" i="5"/>
  <c r="A51" i="5"/>
  <c r="A16" i="5"/>
  <c r="A183" i="5"/>
  <c r="A29" i="5"/>
  <c r="A264" i="5"/>
  <c r="A39" i="5"/>
  <c r="A110" i="5"/>
  <c r="A28" i="5"/>
  <c r="A43" i="5"/>
  <c r="A147" i="5"/>
  <c r="A48" i="5"/>
  <c r="A4" i="5"/>
  <c r="A206" i="5"/>
  <c r="A215" i="5"/>
  <c r="A37" i="5"/>
  <c r="A34" i="5"/>
  <c r="A121" i="5"/>
  <c r="A54" i="5"/>
  <c r="A55" i="5"/>
  <c r="A178" i="5"/>
  <c r="A128" i="5"/>
  <c r="A269" i="5"/>
  <c r="A243" i="5"/>
  <c r="A41" i="5"/>
  <c r="A267" i="5"/>
  <c r="A46" i="5"/>
  <c r="A36" i="5"/>
  <c r="A25" i="5"/>
  <c r="A9" i="5"/>
  <c r="A131" i="5"/>
  <c r="A38" i="5"/>
  <c r="A27" i="5"/>
  <c r="A22" i="5"/>
  <c r="A42" i="5"/>
  <c r="A32" i="5"/>
  <c r="A49" i="5"/>
  <c r="A277" i="5"/>
  <c r="A263" i="5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E452" i="1"/>
</calcChain>
</file>

<file path=xl/sharedStrings.xml><?xml version="1.0" encoding="utf-8"?>
<sst xmlns="http://schemas.openxmlformats.org/spreadsheetml/2006/main" count="1777" uniqueCount="1296">
  <si>
    <t>خصومات بضاعة</t>
  </si>
  <si>
    <t>إشعارات دائنـة</t>
  </si>
  <si>
    <t>إشعارات مدينة</t>
  </si>
  <si>
    <t>مرتجعات نقدية</t>
  </si>
  <si>
    <t>مرتجعـات آجــــلة</t>
  </si>
  <si>
    <t>شيكات</t>
  </si>
  <si>
    <t>عمولات</t>
  </si>
  <si>
    <t>تســديدات</t>
  </si>
  <si>
    <t>نقـــــــد</t>
  </si>
  <si>
    <t>آجــــــل</t>
  </si>
  <si>
    <t>ماقبلــه</t>
  </si>
  <si>
    <t>الرصـــيد</t>
  </si>
  <si>
    <t>اســم العميــــــــــــل</t>
  </si>
  <si>
    <t>ريال يمني</t>
  </si>
  <si>
    <t>نبيل الشاعرللادوية ري</t>
  </si>
  <si>
    <t>محلات الفيصل لاند ري</t>
  </si>
  <si>
    <t>محمد العواضي ري</t>
  </si>
  <si>
    <t>م السنفاني ري</t>
  </si>
  <si>
    <t>محلات المداني ري</t>
  </si>
  <si>
    <t>مش الامين ري</t>
  </si>
  <si>
    <t>صيدلية سامي ري</t>
  </si>
  <si>
    <t>م نجيم ري</t>
  </si>
  <si>
    <t>مش نور الحياة الحديث ري</t>
  </si>
  <si>
    <t>مركز الامانة الطبي ـ القفر ري</t>
  </si>
  <si>
    <t>الرائد ميديكال ري</t>
  </si>
  <si>
    <t>عبدالله عبدالجبار ري</t>
  </si>
  <si>
    <t>ماجد عبدالجبار ري</t>
  </si>
  <si>
    <t>محلات التضامن احمد يحيى الواصلي ري</t>
  </si>
  <si>
    <t>ص صلاح سليم ري</t>
  </si>
  <si>
    <t>الصيدلية الاولى د ابراهيم الشامي ري</t>
  </si>
  <si>
    <t>مركز الزمر ري</t>
  </si>
  <si>
    <t>امين قاسم الواصلي ري</t>
  </si>
  <si>
    <t>سعيد مرشد الواصلي ري</t>
  </si>
  <si>
    <t>م عبده قعشه ري</t>
  </si>
  <si>
    <t>مركز برلين سكان ري</t>
  </si>
  <si>
    <t>الصيدلية الدوائية - يريم ري</t>
  </si>
  <si>
    <t>صيدلية ابن الهيثم ري</t>
  </si>
  <si>
    <t>ص صدام ري</t>
  </si>
  <si>
    <t>محلات النصر ري</t>
  </si>
  <si>
    <t>مخزن الواصلي ري</t>
  </si>
  <si>
    <t>ص الوادي الاخضر ري</t>
  </si>
  <si>
    <t>م الشفاء خالد علي محسن ري</t>
  </si>
  <si>
    <t>صيدلية الاختيار الاول ري</t>
  </si>
  <si>
    <t>محلات المجد ري</t>
  </si>
  <si>
    <t>مركز الريان د/حميد الاهدل ري</t>
  </si>
  <si>
    <t>محلات جنى ري</t>
  </si>
  <si>
    <t>مس الرياسي الحزم ري</t>
  </si>
  <si>
    <t>مخزن الواصلي2 ري</t>
  </si>
  <si>
    <t>مركز السعادة الطبي ري</t>
  </si>
  <si>
    <t>مستوصف السامعي   قعطبه ري</t>
  </si>
  <si>
    <t>عبدالعزيز الواصلي ري</t>
  </si>
  <si>
    <t>مش البدر الدولي ري</t>
  </si>
  <si>
    <t>محلات اخوان جميل ري</t>
  </si>
  <si>
    <t>ص الزهراء 3 ري</t>
  </si>
  <si>
    <t>مستشفى الحمد ري</t>
  </si>
  <si>
    <t>مستوصف د/عبدالملك نصير ري</t>
  </si>
  <si>
    <t>مركز الشراعي الطبي النموذجي ري</t>
  </si>
  <si>
    <t>مخزن الامجاد ري</t>
  </si>
  <si>
    <t>ص القدس يريم ري</t>
  </si>
  <si>
    <t>مركز الشجاع الطبي ري</t>
  </si>
  <si>
    <t>مركز المختار ري</t>
  </si>
  <si>
    <t>مستشفى الكندي ري</t>
  </si>
  <si>
    <t>محلات النصر فارما ري</t>
  </si>
  <si>
    <t>مخزن المنير ري</t>
  </si>
  <si>
    <t>مخزن ربيد قعطبه ري</t>
  </si>
  <si>
    <t>مستشفى البرج التخصصي ري</t>
  </si>
  <si>
    <t>محمد مرشد الواصلي ري</t>
  </si>
  <si>
    <t>مس الامل بشبان ري</t>
  </si>
  <si>
    <t>صيدلية الغيثي فارما ري</t>
  </si>
  <si>
    <t>ابراهيم محمد على الوقيره ري</t>
  </si>
  <si>
    <t>صيدلية الريحان ري</t>
  </si>
  <si>
    <t>مستوصف الحياة ري</t>
  </si>
  <si>
    <t>مركز الزهراء / عاصم شداد ري</t>
  </si>
  <si>
    <t>مش جبله ري</t>
  </si>
  <si>
    <t>ص الزهراء 2 ري</t>
  </si>
  <si>
    <t>د على الهبوب ري</t>
  </si>
  <si>
    <t>سيف الشرعبي ري</t>
  </si>
  <si>
    <t>مس اب النموذجي ري</t>
  </si>
  <si>
    <t>مركز الامومة والطفل ري</t>
  </si>
  <si>
    <t>محلات النهضة ري</t>
  </si>
  <si>
    <t>مركز السلام الطبي ري</t>
  </si>
  <si>
    <t>مركز عزاب الطبي ـ قعطبة ري</t>
  </si>
  <si>
    <t>مش الرواد ري</t>
  </si>
  <si>
    <t>صيدلية الخير /عيادة الدكتور الزنن ري</t>
  </si>
  <si>
    <t>ص الزهراء 5 ري</t>
  </si>
  <si>
    <t>صيدلية الزهراء  4 ري</t>
  </si>
  <si>
    <t>محلات اللواء الاخضر ري</t>
  </si>
  <si>
    <t>صيدلية الوليد ري</t>
  </si>
  <si>
    <t>صيدلية الخضراء فارما ري</t>
  </si>
  <si>
    <t>صيدلية المثنى ــ السبل ري</t>
  </si>
  <si>
    <t>فارس عبده محمد ري</t>
  </si>
  <si>
    <t>م الكامل مذيخرة ري</t>
  </si>
  <si>
    <t>مركز دار الصحة ري</t>
  </si>
  <si>
    <t>مس الحكمة ري</t>
  </si>
  <si>
    <t>عيادة البشير  العدين ري</t>
  </si>
  <si>
    <t>مخزن الوحدة ري</t>
  </si>
  <si>
    <t>صيدلية الدكتور / عبدالله طامش ري</t>
  </si>
  <si>
    <t>مش المنار ري</t>
  </si>
  <si>
    <t>مس الواصلي ري</t>
  </si>
  <si>
    <t>مس الكامل ري</t>
  </si>
  <si>
    <t>مركز العناية الطبية ري</t>
  </si>
  <si>
    <t>صيدلية الرواد ري</t>
  </si>
  <si>
    <t>صيدلية الياقوت ري</t>
  </si>
  <si>
    <t>مركز المنار الطبي ري</t>
  </si>
  <si>
    <t>م الحنان ري</t>
  </si>
  <si>
    <t>صيدلية اسرار الدواء ري</t>
  </si>
  <si>
    <t>مخزن السعيدة ري</t>
  </si>
  <si>
    <t>مش النصر العام ري</t>
  </si>
  <si>
    <t>مركز د/نجيب ثوابه ري</t>
  </si>
  <si>
    <t>ص الزهراء ري</t>
  </si>
  <si>
    <t>مركز ابو هاني الطبي ري</t>
  </si>
  <si>
    <t>صيدلية ام القرى والبوادي ري</t>
  </si>
  <si>
    <t>د/محمد غالب العيني ري</t>
  </si>
  <si>
    <t>مستوصف الجبلي - دمت ري</t>
  </si>
  <si>
    <t>موسسة القدس طلحة بلاس ري</t>
  </si>
  <si>
    <t>صيدلية بسمة امل ري</t>
  </si>
  <si>
    <t>صيدلية الخرطوم ــ اب ري</t>
  </si>
  <si>
    <t>الصيدلية الكبرى ري</t>
  </si>
  <si>
    <t>محلات الحكمة ــ محمد عبده ري</t>
  </si>
  <si>
    <t>ص الفواد ري</t>
  </si>
  <si>
    <t>مس الامل ري</t>
  </si>
  <si>
    <t>مركز د / فارس المرح الطبي ري</t>
  </si>
  <si>
    <t>صيدلية الصدر د/علي الصياء ري</t>
  </si>
  <si>
    <t>صيدلية فكري ري</t>
  </si>
  <si>
    <t>ص البغدادي   اب ري</t>
  </si>
  <si>
    <t>مس ابن سيناء ري</t>
  </si>
  <si>
    <t>ص العالمية ري</t>
  </si>
  <si>
    <t>مس ابو سليم ري</t>
  </si>
  <si>
    <t>عبدالكريم علي بدر ري</t>
  </si>
  <si>
    <t>مستوصف نصير الاستشاري ري</t>
  </si>
  <si>
    <t>صيدلية طبيبك فارم ري</t>
  </si>
  <si>
    <t>عيادة الصحة النموذجية ري</t>
  </si>
  <si>
    <t>عيادة ومخزن طبيع ري</t>
  </si>
  <si>
    <t>مش المجد ري</t>
  </si>
  <si>
    <t>ص المجاهد ري</t>
  </si>
  <si>
    <t>مركز د/ نعمان المشرقي ري</t>
  </si>
  <si>
    <t>عيادة ام القرى دمت ري</t>
  </si>
  <si>
    <t>مركز التكنلوجياء ري</t>
  </si>
  <si>
    <t>ص العماد ري</t>
  </si>
  <si>
    <t>مركز الدكتور /جمال الرشاحي ري</t>
  </si>
  <si>
    <t>صيدلية الرشاد ري</t>
  </si>
  <si>
    <t>محلات مراد الواصلي ري</t>
  </si>
  <si>
    <t>مركز الدكتورة اختيار العبسي ري</t>
  </si>
  <si>
    <t>ص مركز الطبي التشخيصي ري</t>
  </si>
  <si>
    <t>مركز المغربي الطبي الحديث ري</t>
  </si>
  <si>
    <t>مستشفى الرجاء ري</t>
  </si>
  <si>
    <t>ص الفاروق ري</t>
  </si>
  <si>
    <t>صيدلية معاذ ري</t>
  </si>
  <si>
    <t>محلات الريادة ري</t>
  </si>
  <si>
    <t>مخزن عياش ري</t>
  </si>
  <si>
    <t>مخزن الرفاعي  العدين ري</t>
  </si>
  <si>
    <t>مستوصف النهضة النموذجي ــ يريم ري</t>
  </si>
  <si>
    <t>مس العمراني ري</t>
  </si>
  <si>
    <t>مركز السلامة ري</t>
  </si>
  <si>
    <t>ص السروري ري</t>
  </si>
  <si>
    <t>صيدلية الحمزة ري</t>
  </si>
  <si>
    <t>صيدلية اريس ري</t>
  </si>
  <si>
    <t>محمد الصبري مندوب جوسوي ري</t>
  </si>
  <si>
    <t>امين الورافي ري</t>
  </si>
  <si>
    <t>مركز الدكتور احمد البشطرة ري</t>
  </si>
  <si>
    <t>مستوصف النخبة التخصصي ري</t>
  </si>
  <si>
    <t>صيدلية الرافة ـ جبلة ري</t>
  </si>
  <si>
    <t>ص القاهرة ري</t>
  </si>
  <si>
    <t>صيدلية يمن فارما ري</t>
  </si>
  <si>
    <t>عالم الصيدلية 21     اب ري</t>
  </si>
  <si>
    <t>ص غزة ري</t>
  </si>
  <si>
    <t>مخزن الوحدة  بعدان ري</t>
  </si>
  <si>
    <t>مركز طبيع الصحي ري</t>
  </si>
  <si>
    <t>صيدلية جنات ري</t>
  </si>
  <si>
    <t>د/يونس البعداني مندوب العامرية ري</t>
  </si>
  <si>
    <t>مركز كنوز الصحة   يريم ري</t>
  </si>
  <si>
    <t>مركز النصر الطبي ري</t>
  </si>
  <si>
    <t>ص نبيل ري</t>
  </si>
  <si>
    <t>الزهراء حزم العدين ري</t>
  </si>
  <si>
    <t>مركز الحياة  ـ بعدان ري</t>
  </si>
  <si>
    <t>مركز باعلوي ري</t>
  </si>
  <si>
    <t>عبدالرحمن الزبيري ري</t>
  </si>
  <si>
    <t>ص طيبة العزي ري</t>
  </si>
  <si>
    <t>ص الاعتماد ري</t>
  </si>
  <si>
    <t>مركز الرازي الطبي ري</t>
  </si>
  <si>
    <t>ص رمزي ري</t>
  </si>
  <si>
    <t>صيدلية بلال ري</t>
  </si>
  <si>
    <t>م الرحمة قعطبة ري</t>
  </si>
  <si>
    <t>صالح يحيى الواصلي ري</t>
  </si>
  <si>
    <t>مخزن الريان - ميتم ري</t>
  </si>
  <si>
    <t>صيدلية المجد فارما ري</t>
  </si>
  <si>
    <t>مس العجل ري</t>
  </si>
  <si>
    <t>مخزن الزهراوي ري</t>
  </si>
  <si>
    <t>ص الثورة ري</t>
  </si>
  <si>
    <t>صيدلية سماء ري</t>
  </si>
  <si>
    <t>صيدلية منابع الشفاء ري</t>
  </si>
  <si>
    <t>مركز ابن سيناء ري</t>
  </si>
  <si>
    <t>مس اليمني الحديث ري</t>
  </si>
  <si>
    <t>صيدلية الامين النموذجية ري</t>
  </si>
  <si>
    <t>مركز ابن سيناء ـ المخادر ري</t>
  </si>
  <si>
    <t>امين علي   بعدان ري</t>
  </si>
  <si>
    <t>د/ سمير ماطر ري</t>
  </si>
  <si>
    <t>صيدلية الشرماني المركزي ري</t>
  </si>
  <si>
    <t>صيدلية مكة ري</t>
  </si>
  <si>
    <t>م الوفاء ري</t>
  </si>
  <si>
    <t>مخزن ابو ماهر / دمت ري</t>
  </si>
  <si>
    <t>بن حميد ري</t>
  </si>
  <si>
    <t>مستوصف النصر الاهلي ري</t>
  </si>
  <si>
    <t>محلات المدينة ري</t>
  </si>
  <si>
    <t>مركز الوليد الطبي ري</t>
  </si>
  <si>
    <t>ص الصفوة ري</t>
  </si>
  <si>
    <t>ص الشعيبي  د/نشوان الشعيبي ري</t>
  </si>
  <si>
    <t>صيدلية الناصر المركزية ري</t>
  </si>
  <si>
    <t>صيدلية عالم المنار ـ السبل ري</t>
  </si>
  <si>
    <t>مركز نبض الحياة ـ شبان ري</t>
  </si>
  <si>
    <t>عيادة النور ـ مفرق حبيش ري</t>
  </si>
  <si>
    <t>ص الحمد للادوية ري</t>
  </si>
  <si>
    <t>جميل مقبل احمد حمود ري</t>
  </si>
  <si>
    <t>صيدلية الدوائية ري</t>
  </si>
  <si>
    <t>مركز القحم الطبي ري</t>
  </si>
  <si>
    <t>مركز المدينة الطبي د/محمد الهتار ري</t>
  </si>
  <si>
    <t>صيدلية التوكل ري</t>
  </si>
  <si>
    <t>مركز الاخلاص ري</t>
  </si>
  <si>
    <t>ص اللواء الاخضر ري</t>
  </si>
  <si>
    <t>صيدلية طيبة بعدان ري</t>
  </si>
  <si>
    <t>صيدلية مراد فارما ري</t>
  </si>
  <si>
    <t>محلات الحياة فارما ري</t>
  </si>
  <si>
    <t>صيدلية عصام المركزية ري</t>
  </si>
  <si>
    <t>الماجد فارما للادوية والمستلزمات الطبية</t>
  </si>
  <si>
    <t>صيدلية ارض الجنتين ري</t>
  </si>
  <si>
    <t>مخزن جابر بن حيان ري</t>
  </si>
  <si>
    <t>صالح امين الواصلي ري</t>
  </si>
  <si>
    <t>صيدلية دواؤنا حياة المركزية ري</t>
  </si>
  <si>
    <t>مش النور ري</t>
  </si>
  <si>
    <t>صيدلية السلام ري</t>
  </si>
  <si>
    <t>صيدلية حماس ري</t>
  </si>
  <si>
    <t>ص الورافي ري</t>
  </si>
  <si>
    <t>مركز الصفاء الطبي ري</t>
  </si>
  <si>
    <t>م الشفاء ري</t>
  </si>
  <si>
    <t>مركز الخليج الطبي ري</t>
  </si>
  <si>
    <t>مركز الصحي وعبدة قايد الشعوري ري</t>
  </si>
  <si>
    <t>عيادة المليكي الطبية ري</t>
  </si>
  <si>
    <t>د/خالد الصلوي مندوب المتحدة ري</t>
  </si>
  <si>
    <t>م الوديع ري</t>
  </si>
  <si>
    <t>صيدلية السلامة د/عبدالملك المنصور ري</t>
  </si>
  <si>
    <t>مستوصف المدينة التخصصي ــ يريم ري</t>
  </si>
  <si>
    <t>ص العامري ري</t>
  </si>
  <si>
    <t>مخزن العدالة   السدة ري</t>
  </si>
  <si>
    <t>ص قلب المدينه ري</t>
  </si>
  <si>
    <t>ص المدينه- دمت د عارف ري</t>
  </si>
  <si>
    <t>مركز الامل الطبي ري</t>
  </si>
  <si>
    <t>مركز الرافة الطبي   اب ري</t>
  </si>
  <si>
    <t>مركز د/نوفل مرزح ري</t>
  </si>
  <si>
    <t>عيادة اللواء الاخضر  دمت ري</t>
  </si>
  <si>
    <t>ص الحكمة ري</t>
  </si>
  <si>
    <t>صيدلية فارما العالمية ري</t>
  </si>
  <si>
    <t>صيدلية سيف فارما ري</t>
  </si>
  <si>
    <t>مركز الزهراء الطبي العدين ري</t>
  </si>
  <si>
    <t>الحاج علي عبده الغزالي ري</t>
  </si>
  <si>
    <t>مركز صلاح الدين ري</t>
  </si>
  <si>
    <t>عيادة عفاف الشريف ري</t>
  </si>
  <si>
    <t>مس الرافة ري</t>
  </si>
  <si>
    <t>ص الرازي ري</t>
  </si>
  <si>
    <t>ص الملهم ري</t>
  </si>
  <si>
    <t>مركز السمه الطبي ري</t>
  </si>
  <si>
    <t>فواز/عارف الصبري ري</t>
  </si>
  <si>
    <t>عيادة الرحمة سمارة ري</t>
  </si>
  <si>
    <t>محلات عالم الدواء ري</t>
  </si>
  <si>
    <t>ص الصفوة فارما  عيادة د/عزيز العامري ري</t>
  </si>
  <si>
    <t>مش الحياة ري</t>
  </si>
  <si>
    <t>مخزن الزهراء / الرضمة ري</t>
  </si>
  <si>
    <t>صيدلية العفيف فارما ري</t>
  </si>
  <si>
    <t>مس الشفاء ري</t>
  </si>
  <si>
    <t>مس الرحمة ري</t>
  </si>
  <si>
    <t>ص عدن د عبدالجبار ري</t>
  </si>
  <si>
    <t>مخزن السلام  بعدان ري</t>
  </si>
  <si>
    <t>م د/نجيب مانع ري</t>
  </si>
  <si>
    <t>مخزن صحتك ـ العدين ري</t>
  </si>
  <si>
    <t>صيدلية صوت الحياة ري</t>
  </si>
  <si>
    <t>صيدلية مكة ــ دمت ري</t>
  </si>
  <si>
    <t>مركز د/علي الحسني ري</t>
  </si>
  <si>
    <t>مش المجد   يريم ري</t>
  </si>
  <si>
    <t>صيدلية المجيدي ري</t>
  </si>
  <si>
    <t>صيدلية دعاء ري</t>
  </si>
  <si>
    <t>مخزن الشفاء ري</t>
  </si>
  <si>
    <t>مس/القادري ري</t>
  </si>
  <si>
    <t>ص المخادري ري</t>
  </si>
  <si>
    <t>د/توفيق باعباد ري</t>
  </si>
  <si>
    <t>مخزن الفاروق ري</t>
  </si>
  <si>
    <t>مركز الدكتور /محمدعبادي ري</t>
  </si>
  <si>
    <t>ص الاقصى ري</t>
  </si>
  <si>
    <t>المركز الاستشاري الطبي ري</t>
  </si>
  <si>
    <t>صيدلية الهندي ـ شبان ري</t>
  </si>
  <si>
    <t>مركز دار الطب ري</t>
  </si>
  <si>
    <t>عيادة العيون التخصصية د صادق الخطيب ري</t>
  </si>
  <si>
    <t>صيدلية الشعيبي 2 ري</t>
  </si>
  <si>
    <t>ص الشفاء ري</t>
  </si>
  <si>
    <t>ص الاستقبال ري</t>
  </si>
  <si>
    <t>ص الهلال ري</t>
  </si>
  <si>
    <t>مركز صحتك د/ محمد ري</t>
  </si>
  <si>
    <t>صيدلية الفران  يريم ري</t>
  </si>
  <si>
    <t>ص الوطنية ري</t>
  </si>
  <si>
    <t>ص الايمان ري</t>
  </si>
  <si>
    <t>عيادة الرضوان د / كمال ري</t>
  </si>
  <si>
    <t>ص الكينعي ري</t>
  </si>
  <si>
    <t>ص النور   اب ري</t>
  </si>
  <si>
    <t>صيدلية البغدادي ــ السبل ري</t>
  </si>
  <si>
    <t>مركز زهور الحياة ري</t>
  </si>
  <si>
    <t>احمد مرشد حميد ري</t>
  </si>
  <si>
    <t>ص حياتي ري</t>
  </si>
  <si>
    <t>ص الصباحي ري</t>
  </si>
  <si>
    <t>حمير للادويه ري</t>
  </si>
  <si>
    <t>عبدالغني البتول ري</t>
  </si>
  <si>
    <t>مركز الامل - الحزم ري</t>
  </si>
  <si>
    <t>ص مياس ري</t>
  </si>
  <si>
    <t>صيدلية امان ري</t>
  </si>
  <si>
    <t>مركز د / مجيد الضحياني ري</t>
  </si>
  <si>
    <t>صيدلية اليسر ري</t>
  </si>
  <si>
    <t>ص العناية علي احمد علي الملكي ري</t>
  </si>
  <si>
    <t>الصيدلية اليمنية ري</t>
  </si>
  <si>
    <t>ص المتحدة ري</t>
  </si>
  <si>
    <t>ص الشروق ري</t>
  </si>
  <si>
    <t>صيدلية اكرم ري</t>
  </si>
  <si>
    <t>صيدلية فكري 2 ري</t>
  </si>
  <si>
    <t>ص النسيم ري</t>
  </si>
  <si>
    <t>م غيلان ري</t>
  </si>
  <si>
    <t>ص الوزير ري</t>
  </si>
  <si>
    <t>ص الحسام ري</t>
  </si>
  <si>
    <t>مخزن بن دومة ري</t>
  </si>
  <si>
    <t>عبدالخالق الحكيمي ري</t>
  </si>
  <si>
    <t>مس كتاب ري</t>
  </si>
  <si>
    <t>صيدلية المودة /المركز التخصصي للعظام ري</t>
  </si>
  <si>
    <t>ص ابن سيناء ري</t>
  </si>
  <si>
    <t>مس الخنساء ري</t>
  </si>
  <si>
    <t>ص الاندلس ري</t>
  </si>
  <si>
    <t>مش دار الشفاء التخصصي ري</t>
  </si>
  <si>
    <t>ص التقوي ري</t>
  </si>
  <si>
    <t>نشوان الاعرج ري</t>
  </si>
  <si>
    <t>ص الصانع ري</t>
  </si>
  <si>
    <t>مركز د/وضاح درويش ري</t>
  </si>
  <si>
    <t>مركز الحياة جولة المرور ري</t>
  </si>
  <si>
    <t>مخزن ابن سيناء ري</t>
  </si>
  <si>
    <t>م حاجب حبيش علي محسن حاجب ري</t>
  </si>
  <si>
    <t>مش بالفقية ري</t>
  </si>
  <si>
    <t>ص التوفيق النموذجيه ري</t>
  </si>
  <si>
    <t>صيدلية عدن ري</t>
  </si>
  <si>
    <t>م الصادق ري</t>
  </si>
  <si>
    <t>عبدالمؤمن +عبدالفتاح ري</t>
  </si>
  <si>
    <t>مس الاقصى  بعدان ري</t>
  </si>
  <si>
    <t>مركز د/عبدالقوي مكرد ري</t>
  </si>
  <si>
    <t>مش الشقائق ري</t>
  </si>
  <si>
    <t>عيادة عساف ري</t>
  </si>
  <si>
    <t>صيدلية الروضة ري</t>
  </si>
  <si>
    <t>ص الام والطفل ري</t>
  </si>
  <si>
    <t>مخزن الزهراء  بعدان ري</t>
  </si>
  <si>
    <t>ص الرحمة ري</t>
  </si>
  <si>
    <t>ص حواء ري</t>
  </si>
  <si>
    <t>ص الشميري ري</t>
  </si>
  <si>
    <t>مخزن المدينه ري</t>
  </si>
  <si>
    <t>صيدلية ابو ظبي 2 ري</t>
  </si>
  <si>
    <t>ص المجد ري</t>
  </si>
  <si>
    <t>مخزن ساري ري</t>
  </si>
  <si>
    <t>الصيدلية العالمية النموذجية ري</t>
  </si>
  <si>
    <t>مخزن ابن الهيثم ري</t>
  </si>
  <si>
    <t>صيدلية المريسي ري</t>
  </si>
  <si>
    <t>مركز الدكتور اولبيك ري</t>
  </si>
  <si>
    <t>م/الرحاب - القفر ري</t>
  </si>
  <si>
    <t>مس القاضي ري</t>
  </si>
  <si>
    <t>ص اليرموك ري</t>
  </si>
  <si>
    <t>عيادة الخير  - السبل ري</t>
  </si>
  <si>
    <t>مخزن الاخوين   العدين ري</t>
  </si>
  <si>
    <t>ص الازهر ري</t>
  </si>
  <si>
    <t>ص الحيافي ري</t>
  </si>
  <si>
    <t>ص بروق ري</t>
  </si>
  <si>
    <t>ص الشجاع ري</t>
  </si>
  <si>
    <t>ص الامل ري</t>
  </si>
  <si>
    <t>عيادة النديش  النادرة ري</t>
  </si>
  <si>
    <t>ص الراعي ري</t>
  </si>
  <si>
    <t>ص الشهاري إب ري</t>
  </si>
  <si>
    <t>مش الصالح  على حسن المزحاني ري</t>
  </si>
  <si>
    <t>مس الرشيد ري</t>
  </si>
  <si>
    <t>ص الماس ري</t>
  </si>
  <si>
    <t>مس د/ محمد قاسم غالب ري</t>
  </si>
  <si>
    <t>عيادة ميساء  دمت ري</t>
  </si>
  <si>
    <t>صيدلية اكسير فارما ري</t>
  </si>
  <si>
    <t>مركز القدس د مهيوب الشرعبي ري</t>
  </si>
  <si>
    <t>ص المنار الخارجية ري</t>
  </si>
  <si>
    <t>مخزن الصقر د رشاد ري</t>
  </si>
  <si>
    <t>د/ ماجد عبد الواحد      العدين ري</t>
  </si>
  <si>
    <t>مخزن ابن حيان - الاجلب ري</t>
  </si>
  <si>
    <t>منظمة ماري ستوبس ري</t>
  </si>
  <si>
    <t>ص ابو زيد ري</t>
  </si>
  <si>
    <t>مركز دار العافية ري</t>
  </si>
  <si>
    <t>د / يوسف الفهد مندوبAPM ري</t>
  </si>
  <si>
    <t>مخزن الرحبي  يريم ري</t>
  </si>
  <si>
    <t>مركز العافيه ري</t>
  </si>
  <si>
    <t>مخزن ابن الهيثم ـ دمت ري</t>
  </si>
  <si>
    <t>مخزن الوفاء / دمت ري</t>
  </si>
  <si>
    <t>ص الرافة ري</t>
  </si>
  <si>
    <t>المركز التخصصي التشخيصي ري</t>
  </si>
  <si>
    <t>م الشعب ري</t>
  </si>
  <si>
    <t>مركز الازهر الطبي الحديث ري</t>
  </si>
  <si>
    <t>مخزن عادل للادوية ري</t>
  </si>
  <si>
    <t>د / مرشد احمد حميد ري</t>
  </si>
  <si>
    <t>صيدلية الزهد ري</t>
  </si>
  <si>
    <t>ص عامر ري</t>
  </si>
  <si>
    <t>ص د/صالح عبدالرحيم ري</t>
  </si>
  <si>
    <t>محلات هائل الجماعي ري</t>
  </si>
  <si>
    <t>محلات الجعفري ري</t>
  </si>
  <si>
    <t>محمد يحيى عبده الواصلي ري</t>
  </si>
  <si>
    <t>المركز المصري ري</t>
  </si>
  <si>
    <t>م باعلوي ري</t>
  </si>
  <si>
    <t>عبدالغني حميد الواصلي ري</t>
  </si>
  <si>
    <t>ص الفضل ري</t>
  </si>
  <si>
    <t>ص خرصان احمد مشرح ري</t>
  </si>
  <si>
    <t>م الرحمة د/صالح ري</t>
  </si>
  <si>
    <t>ص صلاح الدين ري</t>
  </si>
  <si>
    <t>م المهدي ري</t>
  </si>
  <si>
    <t>مركز الحياة - شارع تعز ري</t>
  </si>
  <si>
    <t>سند ملغي ري</t>
  </si>
  <si>
    <t>م العرومي ري</t>
  </si>
  <si>
    <t>م السقاف ري</t>
  </si>
  <si>
    <t>ص الهام ري</t>
  </si>
  <si>
    <t>صيدلية النبراس ري</t>
  </si>
  <si>
    <t>ص الامير ري</t>
  </si>
  <si>
    <t>صيدلية برج نيولاب الطبي ري</t>
  </si>
  <si>
    <t>ص صلالة ري</t>
  </si>
  <si>
    <t>صيدلية فارمسي 1 ري</t>
  </si>
  <si>
    <t>صيدلية الصبري فارما ري</t>
  </si>
  <si>
    <t>ص الخياط ري</t>
  </si>
  <si>
    <t>ص ازال ري</t>
  </si>
  <si>
    <t>ص القدس إب ري</t>
  </si>
  <si>
    <t>ص رشيد ري</t>
  </si>
  <si>
    <t>م الجزيرة ري</t>
  </si>
  <si>
    <t>م ريدان ري</t>
  </si>
  <si>
    <t>مخزن الهلال ري</t>
  </si>
  <si>
    <t>مس صافر ري</t>
  </si>
  <si>
    <t>ص الطيب ري</t>
  </si>
  <si>
    <t>ص الضراسي ري</t>
  </si>
  <si>
    <t>ص/الفقية ري</t>
  </si>
  <si>
    <t>عيادة الرحمة د صالح الشامي ري</t>
  </si>
  <si>
    <t>مس الحسين الطبي ري</t>
  </si>
  <si>
    <t>محلات مكة ري</t>
  </si>
  <si>
    <t>محمد عبدالواحد ري</t>
  </si>
  <si>
    <t>ص الوحدة احمد العزي ري</t>
  </si>
  <si>
    <t>ص الصباحي د/علي ري</t>
  </si>
  <si>
    <t>د /عمار القاضي مندوب جوسوي ري</t>
  </si>
  <si>
    <t>مس الفلاح ري</t>
  </si>
  <si>
    <t>مخزن نبيل شماسي ري</t>
  </si>
  <si>
    <t>صيدلية الصحة ري</t>
  </si>
  <si>
    <t>محمد الخياط ري</t>
  </si>
  <si>
    <t>ص الاقطح د/احمد ري</t>
  </si>
  <si>
    <t>المثنى للادوية ري</t>
  </si>
  <si>
    <t>صيدلية نون د محمد سعد ري</t>
  </si>
  <si>
    <t>محلات ارض سباء ري</t>
  </si>
  <si>
    <t>ري</t>
  </si>
  <si>
    <t>الإجمالي بحسب العملة</t>
  </si>
  <si>
    <t>من</t>
  </si>
  <si>
    <t>عدد</t>
  </si>
  <si>
    <t>مطابقة فرع عمران  عدد العملاء (370)</t>
  </si>
  <si>
    <t>م</t>
  </si>
  <si>
    <t>المطابقة</t>
  </si>
  <si>
    <t xml:space="preserve">المسؤول </t>
  </si>
  <si>
    <t>رقم التلفون</t>
  </si>
  <si>
    <t xml:space="preserve">اسم المختص </t>
  </si>
  <si>
    <t xml:space="preserve">ملاحظات </t>
  </si>
  <si>
    <t>وكالة الكيال   عارف الكيال</t>
  </si>
  <si>
    <t xml:space="preserve">مجاهد القحطاني </t>
  </si>
  <si>
    <t>محلات العفاري للادوية</t>
  </si>
  <si>
    <t>شوقي الحرثي</t>
  </si>
  <si>
    <t>مركز النصر المهاذر</t>
  </si>
  <si>
    <t>توكيلات ابو مجاهد الهدوي</t>
  </si>
  <si>
    <t>صيدلية دار الدواء الحديثة  الاهجر</t>
  </si>
  <si>
    <t>مركز السلام الطبي د. عدنان شملان صعدة</t>
  </si>
  <si>
    <t>وكالة داود</t>
  </si>
  <si>
    <t>المركز السوداني ـ صعدة</t>
  </si>
  <si>
    <t>وكالة الكامل ـ عمران</t>
  </si>
  <si>
    <t>عيادة الدكتور /احمد الاشموري</t>
  </si>
  <si>
    <t>توكيلات علي الهدوي</t>
  </si>
  <si>
    <t>عيادة القمة        عمران</t>
  </si>
  <si>
    <t>مركز ابن سيناء الطبي</t>
  </si>
  <si>
    <t>عيادة القدس</t>
  </si>
  <si>
    <t>وكالة سلسبيل ـ صعدة</t>
  </si>
  <si>
    <t>توكيلات الرافة فارما</t>
  </si>
  <si>
    <t>مركز د/خليد ردمان</t>
  </si>
  <si>
    <t>عيادة الامير الطبية ـ صعدة</t>
  </si>
  <si>
    <t>مس الصريمي</t>
  </si>
  <si>
    <t>وكالة عالم الدواء - خمر</t>
  </si>
  <si>
    <t>الصيدلية التعاونية ـ ارحب</t>
  </si>
  <si>
    <t>مس ابن الهيثم ريدة</t>
  </si>
  <si>
    <t>مركز بشار ـ حرف سفيان</t>
  </si>
  <si>
    <t>عيادة دوائي    بئر عايض</t>
  </si>
  <si>
    <t>مركز ذو عناش د/محمد فقعي</t>
  </si>
  <si>
    <t>مركز المهادر   د. محمد الصبيحي</t>
  </si>
  <si>
    <t>صيدلية د. ابراهيم  عمران</t>
  </si>
  <si>
    <t>مركز الحياة صعدة</t>
  </si>
  <si>
    <t>مس الرحمة صعدة</t>
  </si>
  <si>
    <t>توكيلات القمة ــ عمران</t>
  </si>
  <si>
    <t>مركز د / ماجد عسلان</t>
  </si>
  <si>
    <t>ص/العفاري</t>
  </si>
  <si>
    <t>وكالة الامل د/مروان القيفي</t>
  </si>
  <si>
    <t>وكالة راجح البوني</t>
  </si>
  <si>
    <t>مركز النخبة الطبي  أبلاس</t>
  </si>
  <si>
    <t>صيدلية دكتور امين البشاري    صعدة</t>
  </si>
  <si>
    <t>توكيلات العربية للادوية</t>
  </si>
  <si>
    <t>م ابن سيناء المدينة عمران</t>
  </si>
  <si>
    <t>عيادة النور المهادر د بلال</t>
  </si>
  <si>
    <t>مركز الفا الطبي</t>
  </si>
  <si>
    <t>وكالة صوفان</t>
  </si>
  <si>
    <t>ص الكيال 22 مايو   عمران</t>
  </si>
  <si>
    <t>مش الاحسان    خمر</t>
  </si>
  <si>
    <t>عيادة د/فايزة دهنان</t>
  </si>
  <si>
    <t>مركز ابن حيان    المحويت</t>
  </si>
  <si>
    <t>صيدلية النعمان ـ صعدة</t>
  </si>
  <si>
    <t>مركز الشفاء المضلعي</t>
  </si>
  <si>
    <t>عيادة د. عبد الحميد جراد عمران</t>
  </si>
  <si>
    <t>مركز الحياة الطبي الحديث   حزم الجوف</t>
  </si>
  <si>
    <t>المركز الطبي الحديث   صعدة</t>
  </si>
  <si>
    <t>مركز د / عبدالله هريت</t>
  </si>
  <si>
    <t>م الامل   خمر</t>
  </si>
  <si>
    <t>مركز العظام الجراحي</t>
  </si>
  <si>
    <t>مركز دار الاطباء عمران</t>
  </si>
  <si>
    <t>مس د/علي معوض</t>
  </si>
  <si>
    <t>مخزن الاحسان</t>
  </si>
  <si>
    <t>صيدلية الحرمين للادوية   حزم الجوف</t>
  </si>
  <si>
    <t>المضلعي للادوية /بكر المضلعي</t>
  </si>
  <si>
    <t>وكالة الصمود  د/ محمد حاجب</t>
  </si>
  <si>
    <t>مركز سلامتك ـ ارحب</t>
  </si>
  <si>
    <t>عيادة السلام المهاذر</t>
  </si>
  <si>
    <t>ص علي الهدوي    صعدة</t>
  </si>
  <si>
    <t>المستشفى الاستشاري الوطني</t>
  </si>
  <si>
    <t>مركز بني غثيمة الطبي</t>
  </si>
  <si>
    <t>صيدلية الربيع العربي</t>
  </si>
  <si>
    <t>عيادة دار الشفاء ضحيان د/وسيم الرازحي</t>
  </si>
  <si>
    <t>وكالة النور للادوية</t>
  </si>
  <si>
    <t xml:space="preserve">لا يوجد زيارات </t>
  </si>
  <si>
    <t>ص / طب الحياة</t>
  </si>
  <si>
    <t>عيادة الامتياز ــ ضحيان</t>
  </si>
  <si>
    <t>عيادة الدكتور عبدالله العرامي     صعدة</t>
  </si>
  <si>
    <t>وكالة عثمان عيضة للادوية</t>
  </si>
  <si>
    <t>توكيلات السلام    علي حازب</t>
  </si>
  <si>
    <t>مركز الامل الطبي الطلح</t>
  </si>
  <si>
    <t>توكيلات يشفين</t>
  </si>
  <si>
    <t>ص بدر الكبرى</t>
  </si>
  <si>
    <t>مركز الصفاء القفلة</t>
  </si>
  <si>
    <t>توكيلات الامتياز - صعده</t>
  </si>
  <si>
    <t>مركز الروضة      صعدة</t>
  </si>
  <si>
    <t>توكيلات الشرق الاوسط  العيزور      صعدة</t>
  </si>
  <si>
    <t>عيادة وادي خبة الطويلة</t>
  </si>
  <si>
    <t>توكيلات طيبة صعدة</t>
  </si>
  <si>
    <t>مركز غمره   صعدة</t>
  </si>
  <si>
    <t>مركز عريج د/عبدالرحمن عريج</t>
  </si>
  <si>
    <t>ص/الحزم المركزية   حزم الجوف</t>
  </si>
  <si>
    <t>عيادة التيسير د / احمد هاني</t>
  </si>
  <si>
    <t>صيدلية الرافة صعدة</t>
  </si>
  <si>
    <t>وكالة توفير للادوية</t>
  </si>
  <si>
    <t>مخزن ابو هادي</t>
  </si>
  <si>
    <t>المستشفى التخصصي     صعدة</t>
  </si>
  <si>
    <t>مركز النور د/صابر</t>
  </si>
  <si>
    <t>م الجبل</t>
  </si>
  <si>
    <t>مخزن ابن عباس ــ سحب</t>
  </si>
  <si>
    <t>عيادة د/بكر صالح الذيفاني</t>
  </si>
  <si>
    <t>عيادة قطينة</t>
  </si>
  <si>
    <t>صيدلية تاج الحكمه  بئرعايض</t>
  </si>
  <si>
    <t>مركز ابن حيان -ثلا</t>
  </si>
  <si>
    <t>وكالة الحياة للادوية ـ صعدة</t>
  </si>
  <si>
    <t>توكيلات ابراهيم اسحاق</t>
  </si>
  <si>
    <t>مركز المدينة الطبية النموذجية</t>
  </si>
  <si>
    <t>مركز العابد المهاذر</t>
  </si>
  <si>
    <t>عيادة الفرقان المهاذر</t>
  </si>
  <si>
    <t>وكالة برج الحضارة</t>
  </si>
  <si>
    <t>صيدلية صحتي المركزية ـ صعدة</t>
  </si>
  <si>
    <t>مس الحمزي</t>
  </si>
  <si>
    <t>عيادة بلسم نور الحياة - ارحب</t>
  </si>
  <si>
    <t>مستشفى عزالدين الشيباني ـ صعدة</t>
  </si>
  <si>
    <t>عيادة د رفيق الصلوي</t>
  </si>
  <si>
    <t>مركز الفرحان المهاذر</t>
  </si>
  <si>
    <t>ص التفاح الاخضر</t>
  </si>
  <si>
    <t>وكالة التفوق فارما</t>
  </si>
  <si>
    <t>وكالة الغالبون ـ صعدة</t>
  </si>
  <si>
    <t>عيادة د/ابوبكر قاسم</t>
  </si>
  <si>
    <t>عيادة د/امين وحيش</t>
  </si>
  <si>
    <t>امين الكولي للادويه</t>
  </si>
  <si>
    <t>الوكالة العالمية  للادوية</t>
  </si>
  <si>
    <t>توكيلات ابن فاضل ـ خمر</t>
  </si>
  <si>
    <t>مستشفى برج أطباء القاهرة</t>
  </si>
  <si>
    <t>مركز الدكتور / صالح الكزيمه</t>
  </si>
  <si>
    <t>صيدلية صحتك د / فهمي</t>
  </si>
  <si>
    <t>صيدلية نبض الهلال</t>
  </si>
  <si>
    <t>وكالة الرحمة للادوية</t>
  </si>
  <si>
    <t>مركز الشفاء الطبي حزم الجوف</t>
  </si>
  <si>
    <t>مش الصريمي الصيدلية الخارجية</t>
  </si>
  <si>
    <t>توكيلات الصدارة للادوية</t>
  </si>
  <si>
    <t>ص ابو هشام</t>
  </si>
  <si>
    <t>مركز الشفاء د. نجم الدين القفلة</t>
  </si>
  <si>
    <t>عيادة د/غالب مشبب</t>
  </si>
  <si>
    <t>مخزن كنوز الصحة بئر عايض</t>
  </si>
  <si>
    <t>صيدلية المدينة  حزم الجوف</t>
  </si>
  <si>
    <t>مركز حجه الاهلي د/اسماعيل حميد</t>
  </si>
  <si>
    <t>الشركة العالمية للتامين</t>
  </si>
  <si>
    <t>صيدلية الطلح</t>
  </si>
  <si>
    <t>وكاله الاقصى  عمران</t>
  </si>
  <si>
    <t>عيادة د / وسيم القدسي</t>
  </si>
  <si>
    <t>ص الصحة النموذجية</t>
  </si>
  <si>
    <t>مركز الرضوان  العمشية</t>
  </si>
  <si>
    <t>مركز الزهراء      صعدة</t>
  </si>
  <si>
    <t>عياده د/جار الله الشيالي</t>
  </si>
  <si>
    <t>صيدلية الناصر حجة</t>
  </si>
  <si>
    <t>صيدلية بنك الدواء ـ عمران</t>
  </si>
  <si>
    <t>وكالة شايع العبري</t>
  </si>
  <si>
    <t>عيادة الدكتور الكلعي - الطلح</t>
  </si>
  <si>
    <t>ص ملك الدواء    صعدة</t>
  </si>
  <si>
    <t>الشام للادوية  صعدة</t>
  </si>
  <si>
    <t>ص ارض الجنتين</t>
  </si>
  <si>
    <t>مس نخبة الخبراء الحديث</t>
  </si>
  <si>
    <t>ص التضامن</t>
  </si>
  <si>
    <t>العيادة التخصصية  د/بشرى الحميري</t>
  </si>
  <si>
    <t>عيادة د / عمار السقاف</t>
  </si>
  <si>
    <t>عيادة د/ سامي الكيال</t>
  </si>
  <si>
    <t>ص كنز الشفاء الاهجر</t>
  </si>
  <si>
    <t>مستوصف الشيباني</t>
  </si>
  <si>
    <t>مركز برلين الجراحي ـ ارحب</t>
  </si>
  <si>
    <t>ص/ الاحسان</t>
  </si>
  <si>
    <t>صيدلية غزة</t>
  </si>
  <si>
    <t>وكالة المنجدي  ريدة</t>
  </si>
  <si>
    <t>مركز د/عبدالله الحيفي - ارحب</t>
  </si>
  <si>
    <t>مركز د / صالح الذيفاني ـ ريدة</t>
  </si>
  <si>
    <t>صيدلية نيولاب فارما</t>
  </si>
  <si>
    <t>عيادة السعادة      حوث</t>
  </si>
  <si>
    <t>مركز الصحة ـ عقار</t>
  </si>
  <si>
    <t>توكيلات المضلعي ابو خالد</t>
  </si>
  <si>
    <t>مخزن نسرين ـ صعدة</t>
  </si>
  <si>
    <t>د/عادل الكيال</t>
  </si>
  <si>
    <t>صيدلية ركن الشفاء</t>
  </si>
  <si>
    <t>توكيلات شمسان  حجة</t>
  </si>
  <si>
    <t>ص الاقصى</t>
  </si>
  <si>
    <t>مخزن الاحسان د/جعفر  القفلة</t>
  </si>
  <si>
    <t>صيدلية الحضرمي صعدة</t>
  </si>
  <si>
    <t>د/نجيب المسعودي</t>
  </si>
  <si>
    <t>د/هاشم الجابري</t>
  </si>
  <si>
    <t>عيادة د/وليد القيني   عمران</t>
  </si>
  <si>
    <t>مركز د / ابتسام القهالي</t>
  </si>
  <si>
    <t>وكالة الشهاب للادوية</t>
  </si>
  <si>
    <t>المركز الاهلي - حجه</t>
  </si>
  <si>
    <t>عيادة ابن النفيس</t>
  </si>
  <si>
    <t>صيدلية زين المركزية   ابلاس</t>
  </si>
  <si>
    <t>مركز د/هيفاء القديمي</t>
  </si>
  <si>
    <t>مستشفى الماخذي</t>
  </si>
  <si>
    <t>وكالة يونس العيزور</t>
  </si>
  <si>
    <t>توكيلا عبده القاعدي حجة</t>
  </si>
  <si>
    <t>مركز الدكتور / محمد المودع</t>
  </si>
  <si>
    <t>صيدلية الكامل ـ عمران</t>
  </si>
  <si>
    <t>مش السلام د / عبدالله البهواني</t>
  </si>
  <si>
    <t>عيادة الشهاب</t>
  </si>
  <si>
    <t>ص الصادق</t>
  </si>
  <si>
    <t>مخزن الصفوه</t>
  </si>
  <si>
    <t>ص/نبض الحياة المحويت</t>
  </si>
  <si>
    <t>وكالة سليمان  عمران</t>
  </si>
  <si>
    <t>عيادة الحياة</t>
  </si>
  <si>
    <t>ص الاخوة</t>
  </si>
  <si>
    <t>ص/المدينة المحويت</t>
  </si>
  <si>
    <t>وكالة المتحدون ــ عمران</t>
  </si>
  <si>
    <t>صيدلية صحة الاسرة</t>
  </si>
  <si>
    <t>صيدلية طه الرونة ـ ارحب</t>
  </si>
  <si>
    <t>د/محمد الحوثي</t>
  </si>
  <si>
    <t>ص شايع الغبري   صعدة</t>
  </si>
  <si>
    <t>توكيلات عبد الله العودي  صعدة</t>
  </si>
  <si>
    <t>وكالة خالد دهمان</t>
  </si>
  <si>
    <t>م النجاح</t>
  </si>
  <si>
    <t>وكالة الزهيري</t>
  </si>
  <si>
    <t>مش الريان</t>
  </si>
  <si>
    <t>ص السلام   ذيبين</t>
  </si>
  <si>
    <t>عيادة د. محمد دابس</t>
  </si>
  <si>
    <t>صيدلية زمزم ـ صعدة</t>
  </si>
  <si>
    <t>عيادة د/امل الاهنومي/صعدة</t>
  </si>
  <si>
    <t>مركز الفارس ـ ارحب</t>
  </si>
  <si>
    <t>ص مكه   عمران</t>
  </si>
  <si>
    <t>عيادة سبل الحياة د/زيد  عمران</t>
  </si>
  <si>
    <t>مخزن عبدالوهاب للادوية</t>
  </si>
  <si>
    <t>وكالة الاخوين   خمر</t>
  </si>
  <si>
    <t>صيدلية عالم الصيدلة    حزم الجوف</t>
  </si>
  <si>
    <t>صيدلية البلسم    عمران</t>
  </si>
  <si>
    <t>م الاقبال</t>
  </si>
  <si>
    <t>صيدلية العمار ـ عمران</t>
  </si>
  <si>
    <t>مركز الوادي الطبي</t>
  </si>
  <si>
    <t>مصنع الاسمنت عمران   د. نشوان</t>
  </si>
  <si>
    <t>مركز القصاري الطبي</t>
  </si>
  <si>
    <t>صيدلية شملان للادوية ـ ظروان</t>
  </si>
  <si>
    <t>مخزن الحسين</t>
  </si>
  <si>
    <t>صيدلية د. صدام جابر - سحاب</t>
  </si>
  <si>
    <t>صيدلية الصدارة للادوية</t>
  </si>
  <si>
    <t>م الوفاء المدينة عمران</t>
  </si>
  <si>
    <t>ص الامتياز   صعدة</t>
  </si>
  <si>
    <t>مركز سبل الحياة</t>
  </si>
  <si>
    <t>ص التوحيد ابو مجاهد   صعدة</t>
  </si>
  <si>
    <t>مخزن الامل د. قاسم عبد العالم</t>
  </si>
  <si>
    <t>وكالة عالم الدواء</t>
  </si>
  <si>
    <t>عيادة العلفي</t>
  </si>
  <si>
    <t>عيادة صحتي د/ساري وثاب</t>
  </si>
  <si>
    <t>عيادة د . محمد الصوحي</t>
  </si>
  <si>
    <t>مركز الناصر ــ الرجم</t>
  </si>
  <si>
    <t>وكالة الاخوين   صبري حميشام</t>
  </si>
  <si>
    <t>مركز الحكمة د/وليد الصوتي</t>
  </si>
  <si>
    <t>مركز ايلاف الطبي</t>
  </si>
  <si>
    <t>مركز الحارثي الطبي</t>
  </si>
  <si>
    <t>ص الصفاء   صعدة</t>
  </si>
  <si>
    <t>عيادة د/محمود المهدي</t>
  </si>
  <si>
    <t>مخزن التعاون</t>
  </si>
  <si>
    <t>مركز حاجب الطبي</t>
  </si>
  <si>
    <t>ص / عبده القدوس الغزي</t>
  </si>
  <si>
    <t>مركز ابن النفيس شبيل</t>
  </si>
  <si>
    <t>مركز الجمعيه الطبية الخيرية</t>
  </si>
  <si>
    <t>ص  طبيبك</t>
  </si>
  <si>
    <t>صيدلية مكة     حزم الجوف</t>
  </si>
  <si>
    <t>عيادة د / طلال العسلي ــ الرجم</t>
  </si>
  <si>
    <t>عيادة الدكتور / قائد المنصوري</t>
  </si>
  <si>
    <t>م سليمان الطبي</t>
  </si>
  <si>
    <t>عيادة الحيره د/احمد العيدي</t>
  </si>
  <si>
    <t>مركز السلام الطبي النموذجي - حوث</t>
  </si>
  <si>
    <t>الصيدلية الحديثة</t>
  </si>
  <si>
    <t>مركز الامومة والطفولة</t>
  </si>
  <si>
    <t>صيدلية زيد العواوي  صعدة</t>
  </si>
  <si>
    <t>ص دار الصحه   ضروان</t>
  </si>
  <si>
    <t>عيادة الامانة</t>
  </si>
  <si>
    <t>ص ديرتي</t>
  </si>
  <si>
    <t>م الفتح المدينة عمران</t>
  </si>
  <si>
    <t>وكالة المجاهد    عمران</t>
  </si>
  <si>
    <t>وكالة الانوار د /مرسال الصبري</t>
  </si>
  <si>
    <t>وكالة المركزي الحديثة  صعدة</t>
  </si>
  <si>
    <t>صيدلية د/حافظ المرسي    عمران</t>
  </si>
  <si>
    <t>عيادة طيبة ــ صعدة</t>
  </si>
  <si>
    <t>مركز الامل الطبي   ريده</t>
  </si>
  <si>
    <t>م دار الصحة   عمران</t>
  </si>
  <si>
    <t>ص السلطان</t>
  </si>
  <si>
    <t>توكيلات عبدالرحمن المتوكل</t>
  </si>
  <si>
    <t>مركز د / محمد الشرعبي ـ ارحب</t>
  </si>
  <si>
    <t>وكالة العزي</t>
  </si>
  <si>
    <t>ص الجامعة النموذجيه</t>
  </si>
  <si>
    <t>وكالة الشفاء   عمران</t>
  </si>
  <si>
    <t>مس الحياة  د/ يزيد البحيري</t>
  </si>
  <si>
    <t>عيادة دكتور روؤف ردمان   عمران</t>
  </si>
  <si>
    <t>م الشرق الاوسط المدينة عمران</t>
  </si>
  <si>
    <t>عيادة د/احمد الحيفي</t>
  </si>
  <si>
    <t>مش اليمني السوري</t>
  </si>
  <si>
    <t>عيادة د/خالد الرصاصي</t>
  </si>
  <si>
    <t>مركز العابدين</t>
  </si>
  <si>
    <t>مركز الاقصى - حوث د/يحيى عمران</t>
  </si>
  <si>
    <t>مخزن دار الرحمة ـ عمران</t>
  </si>
  <si>
    <t>توكيلات شرف المتوكل</t>
  </si>
  <si>
    <t>م الشفاء ريدة</t>
  </si>
  <si>
    <t>مركز العافية الطبي</t>
  </si>
  <si>
    <t>عيادة د/معين القودري   عمران</t>
  </si>
  <si>
    <t>م ابن سيناء   ضروان</t>
  </si>
  <si>
    <t>توكيلات الشيبري</t>
  </si>
  <si>
    <t>م مكة   ريده</t>
  </si>
  <si>
    <t>صيدلية الارجوان</t>
  </si>
  <si>
    <t>عياده د/بشرى ساري</t>
  </si>
  <si>
    <t>صيدلية د. صلاح الدين د. عمدان ردمان</t>
  </si>
  <si>
    <t>ص/رويال المحويت</t>
  </si>
  <si>
    <t>مخزن شملان  رازح</t>
  </si>
  <si>
    <t>ص دار الصحة    خمر</t>
  </si>
  <si>
    <t>صيدلية القناعة     صعدة الطلح</t>
  </si>
  <si>
    <t>عيادة دكتور عادل الفقيه   بئر عائض</t>
  </si>
  <si>
    <t>مستشفى ابو هادي</t>
  </si>
  <si>
    <t>مركز النخبة الطبي ـ عمران</t>
  </si>
  <si>
    <t>عيادة الهلال العمشية</t>
  </si>
  <si>
    <t>مركز النور</t>
  </si>
  <si>
    <t>مركز الهلال الاحمر الطبي</t>
  </si>
  <si>
    <t>مركز الرافه  ريده</t>
  </si>
  <si>
    <t>مخزن عالم الدواء ــ بئر عائض</t>
  </si>
  <si>
    <t>عيادة الرحمة     قهال</t>
  </si>
  <si>
    <t>صيدلية خبراء الادوية ـ ارحب</t>
  </si>
  <si>
    <t>وكالة الحارثي</t>
  </si>
  <si>
    <t>مخزن ابن سيناء   ريدة</t>
  </si>
  <si>
    <t>الصيدلية النموذجية</t>
  </si>
  <si>
    <t>عيادة د/ ماجد البوكري</t>
  </si>
  <si>
    <t>مخزن عباس الهدوي</t>
  </si>
  <si>
    <t>مس الحكمة</t>
  </si>
  <si>
    <t>عيادة وضاح الرازحي ضحيان</t>
  </si>
  <si>
    <t>مركز د / ابراهيم السنحاني ـ المحويت</t>
  </si>
  <si>
    <t>صيدلية المدينة النموذجية  عمران</t>
  </si>
  <si>
    <t>عيادة الكوثر ضحيان</t>
  </si>
  <si>
    <t>عيادة د / بشرى فارع</t>
  </si>
  <si>
    <t>مركز الفقية د / حسين</t>
  </si>
  <si>
    <t>مخزن النيل بئر عايض</t>
  </si>
  <si>
    <t>عيادة الوليد الطبية</t>
  </si>
  <si>
    <t>ص الشفاء   صعدة</t>
  </si>
  <si>
    <t>مخزن الصمود ـ ذيفان</t>
  </si>
  <si>
    <t>توكيلات ابن حيان المحويت</t>
  </si>
  <si>
    <t>مخزن ابن الهيثم</t>
  </si>
  <si>
    <t>ابن حيان</t>
  </si>
  <si>
    <t>مخزن الفاتح - عمر الحاج</t>
  </si>
  <si>
    <t>مس القديمي   ريده</t>
  </si>
  <si>
    <t>مخزن الرازي  ضروان</t>
  </si>
  <si>
    <t>م البشير</t>
  </si>
  <si>
    <t>مخزن ابن حيان</t>
  </si>
  <si>
    <t>مخزن عالم الصيدلة ـ ريدة</t>
  </si>
  <si>
    <t>مركز المجد الطبي</t>
  </si>
  <si>
    <t>توكيلات ابو شهاب</t>
  </si>
  <si>
    <t>توكيلات بغداد</t>
  </si>
  <si>
    <t>عالم الصيدلة - ضحيان</t>
  </si>
  <si>
    <t>مخزن دارالدواء</t>
  </si>
  <si>
    <t>وكالة د / ابراهيم سفيان</t>
  </si>
  <si>
    <t>مس الرشيد</t>
  </si>
  <si>
    <t>ص مدينة السلام المركزية       خمر</t>
  </si>
  <si>
    <t>توكيلات بن طالب</t>
  </si>
  <si>
    <t>توكيلات الشاحدي للادوية</t>
  </si>
  <si>
    <t>مركز ظين الطبي</t>
  </si>
  <si>
    <t>الامتياز للادوية د / معاذ المهدي</t>
  </si>
  <si>
    <t>مس عياش</t>
  </si>
  <si>
    <t>سند ملغي</t>
  </si>
  <si>
    <t>صيدلية القاهرة</t>
  </si>
  <si>
    <t>صيدلية سند الحديثة ـ ضروان</t>
  </si>
  <si>
    <t>ص د مصطفى</t>
  </si>
  <si>
    <t>م سيبلاس الطبي</t>
  </si>
  <si>
    <t>صيدلية الجامعة ـ ارحب</t>
  </si>
  <si>
    <t>مخزن يثرب</t>
  </si>
  <si>
    <t>عيادة د/عبدالباسط الحاذق   عمران</t>
  </si>
  <si>
    <t>وكالة اليمن</t>
  </si>
  <si>
    <t>مركز الصرم بثلاء</t>
  </si>
  <si>
    <t>مركز تاج الصحة د/نايف القحوم</t>
  </si>
  <si>
    <t>توكيلات الصحة د/منصور</t>
  </si>
  <si>
    <t>توكيلات الارض الطيبة   صعدة</t>
  </si>
  <si>
    <t>توكيلات سبا د عدنان بدر الدين</t>
  </si>
  <si>
    <t>مركز د / علي الجبرني بلاس</t>
  </si>
  <si>
    <t>وكالة عبدالكريم العقاري</t>
  </si>
  <si>
    <t>صيدلية ابن شمسان</t>
  </si>
  <si>
    <t>ص مبروك التام - خمر</t>
  </si>
  <si>
    <t>ص/الغرسي الطويلة</t>
  </si>
  <si>
    <t>ص الامتياز ريدة</t>
  </si>
  <si>
    <t>مخزن الايمان</t>
  </si>
  <si>
    <t>توكيلات ابو رشاد البصلي</t>
  </si>
  <si>
    <t>ص عمران</t>
  </si>
  <si>
    <t>ص سلامتك  صعدة</t>
  </si>
  <si>
    <t>ص/ابن داود</t>
  </si>
  <si>
    <t>وكالة ابراهيم - عمران</t>
  </si>
  <si>
    <t>مس السلام   صعدة</t>
  </si>
  <si>
    <t>صيدلية ماجد دهمان</t>
  </si>
  <si>
    <t>ص عالم الصيدلة - كحلان</t>
  </si>
  <si>
    <t>مركز د / حسن تامة ـ ارحب</t>
  </si>
  <si>
    <t>المكان</t>
  </si>
  <si>
    <t xml:space="preserve">مدير الفرع </t>
  </si>
  <si>
    <t>مدير الفرع</t>
  </si>
  <si>
    <t>الرصيد بسالب</t>
  </si>
  <si>
    <t>الرصيد لا يذكر</t>
  </si>
  <si>
    <t xml:space="preserve">الرصيد صفر </t>
  </si>
  <si>
    <t>مجمع عيادة بلاحدود الصيدلية المركزية الح</t>
  </si>
  <si>
    <t>ص الحور ري</t>
  </si>
  <si>
    <t>ص الربوعي ري</t>
  </si>
  <si>
    <t>ص الزهراوي ري</t>
  </si>
  <si>
    <t>ص وادي النخيل ري</t>
  </si>
  <si>
    <t>م الشخصي ري</t>
  </si>
  <si>
    <t>ص المازني ري</t>
  </si>
  <si>
    <t>م الشفاء تعز ري</t>
  </si>
  <si>
    <t>ص البركة ري</t>
  </si>
  <si>
    <t>ص الترياق ري</t>
  </si>
  <si>
    <t>الجمهورية ري</t>
  </si>
  <si>
    <t>ص ازال تعز ري</t>
  </si>
  <si>
    <t>ص العلاء ري</t>
  </si>
  <si>
    <t>ص الصحة ري</t>
  </si>
  <si>
    <t>ص ذي يزن ري</t>
  </si>
  <si>
    <t>م الانقاذ ري</t>
  </si>
  <si>
    <t>ص طيبة ري</t>
  </si>
  <si>
    <t>م اطلس ري</t>
  </si>
  <si>
    <t>ص المركزية ري</t>
  </si>
  <si>
    <t>م الزمر ري</t>
  </si>
  <si>
    <t>ص الجزيرة تعز ري</t>
  </si>
  <si>
    <t>ص القدس ري</t>
  </si>
  <si>
    <t>مخزن نشوان ري</t>
  </si>
  <si>
    <t>مخزن الاصيل ري</t>
  </si>
  <si>
    <t>ص الامه ري</t>
  </si>
  <si>
    <t>م جمال ري</t>
  </si>
  <si>
    <t>م المجيد تعز ري</t>
  </si>
  <si>
    <t>ص العند ري</t>
  </si>
  <si>
    <t>عيادة د/نجيب مهيوب ري</t>
  </si>
  <si>
    <t>ص الوجيه ري</t>
  </si>
  <si>
    <t>مش الحمد ري</t>
  </si>
  <si>
    <t>ص الصديق تعز ري</t>
  </si>
  <si>
    <t>ص غمدان ري</t>
  </si>
  <si>
    <t>ص المريش التحرير ري</t>
  </si>
  <si>
    <t>ص القاهرة بيرباشا ري</t>
  </si>
  <si>
    <t>ص البلسم بيرباشا ري</t>
  </si>
  <si>
    <t>ص فتح الرحمن ري</t>
  </si>
  <si>
    <t>ص المجتمع ري</t>
  </si>
  <si>
    <t>ص الهلال   تعز ري</t>
  </si>
  <si>
    <t>ص الشهاب ري</t>
  </si>
  <si>
    <t>مش الاسعد ري</t>
  </si>
  <si>
    <t>مس امان الطبي ري</t>
  </si>
  <si>
    <t>ص اليمنية ري</t>
  </si>
  <si>
    <t>ص الزهور   تعز ري</t>
  </si>
  <si>
    <t>ص الموصل تعز ري</t>
  </si>
  <si>
    <t>م الحسام التحرير ري</t>
  </si>
  <si>
    <t>مس الكرامة تعز ري</t>
  </si>
  <si>
    <t>ص عصيوران ري</t>
  </si>
  <si>
    <t>مش اليمن الدولي ري</t>
  </si>
  <si>
    <t>ص عالم الدواء الحديثه ري</t>
  </si>
  <si>
    <t>مش ابن سيناء ري</t>
  </si>
  <si>
    <t>م التوفيق التربة ري</t>
  </si>
  <si>
    <t>م الامين التربة ري</t>
  </si>
  <si>
    <t>م الفاروق التربة ري</t>
  </si>
  <si>
    <t>ص الاحد الاعلوم ري</t>
  </si>
  <si>
    <t>م صبر المسراخ ري</t>
  </si>
  <si>
    <t>م دار الشفاء الاعلوم ري</t>
  </si>
  <si>
    <t>م الرشيد الدمنه ري</t>
  </si>
  <si>
    <t>م الضياء الدمنة ري</t>
  </si>
  <si>
    <t>م الصالح ري</t>
  </si>
  <si>
    <t>م ابن الريف ري</t>
  </si>
  <si>
    <t>م ابن سيناء الراهده ري</t>
  </si>
  <si>
    <t>م المويد ورزان ري</t>
  </si>
  <si>
    <t>م الوفاء الراهده ري</t>
  </si>
  <si>
    <t>مس البرح ري</t>
  </si>
  <si>
    <t>ص مستوصف الرازي ري</t>
  </si>
  <si>
    <t>مس النور ري</t>
  </si>
  <si>
    <t>م النجاح ري</t>
  </si>
  <si>
    <t>مخزن العيدروس ري</t>
  </si>
  <si>
    <t>مخزن بازل ري</t>
  </si>
  <si>
    <t>م الايثار ري</t>
  </si>
  <si>
    <t>م ابن سيناء هجده ري</t>
  </si>
  <si>
    <t>م الوفاء  بني علي ري</t>
  </si>
  <si>
    <t>مس الايمان   شرعب ري</t>
  </si>
  <si>
    <t>م ابوخليل ري</t>
  </si>
  <si>
    <t>م المخلاف ري</t>
  </si>
  <si>
    <t>م الابراهيم ري</t>
  </si>
  <si>
    <t>عيادة د/يحيى المؤنسي ري</t>
  </si>
  <si>
    <t>م الوجيه ري</t>
  </si>
  <si>
    <t>م الفارس مفرق شرعب ري</t>
  </si>
  <si>
    <t>عيادة د/سعيد المهدي  شرعب ري</t>
  </si>
  <si>
    <t>م دار الشفاءمفرق شرعب ري</t>
  </si>
  <si>
    <t>م الجند ري</t>
  </si>
  <si>
    <t>م سلامتك ري</t>
  </si>
  <si>
    <t>م/الرشيد القاعدة ري</t>
  </si>
  <si>
    <t>مس الجند الطبي ري</t>
  </si>
  <si>
    <t>مش القاعدة ري</t>
  </si>
  <si>
    <t>م ابن رشد ري</t>
  </si>
  <si>
    <t>م البغدادي  القاعدة ري</t>
  </si>
  <si>
    <t>مستوصف البعداني مفرق ماوية ري</t>
  </si>
  <si>
    <t>مس الدميني ري</t>
  </si>
  <si>
    <t>مس الشرمان ري</t>
  </si>
  <si>
    <t>م العدل ري</t>
  </si>
  <si>
    <t>م البحر ري</t>
  </si>
  <si>
    <t>ابراهيم عبدالرحمن ري</t>
  </si>
  <si>
    <t>مس المظفر ري</t>
  </si>
  <si>
    <t>م الاقصى ري</t>
  </si>
  <si>
    <t>م الشفاء الطبي ري</t>
  </si>
  <si>
    <t>م الحشاء ري</t>
  </si>
  <si>
    <t>م الانقاذ القاعدة ري</t>
  </si>
  <si>
    <t>م المجد ري</t>
  </si>
  <si>
    <t>م المجد القاعدة ري</t>
  </si>
  <si>
    <t>مش السلطان القاعدة ري</t>
  </si>
  <si>
    <t>م حاشد للادوية ري</t>
  </si>
  <si>
    <t>م الفضل للادوية ذي السفال ري</t>
  </si>
  <si>
    <t>مس الخالد القاعدة ري</t>
  </si>
  <si>
    <t>محلات الشجاع ري</t>
  </si>
  <si>
    <t>انيس للادوية ري</t>
  </si>
  <si>
    <t>عبده علي الدهبلي ري</t>
  </si>
  <si>
    <t>محلات الصراري ري</t>
  </si>
  <si>
    <t>محلات ابوعمار ري</t>
  </si>
  <si>
    <t>عيادة الخير الطبي صبر ري</t>
  </si>
  <si>
    <t>محلات محمد الصانع للادوية ري</t>
  </si>
  <si>
    <t>محلات رمزي للادوية ري</t>
  </si>
  <si>
    <t>محلات سامي محمد محمد عثمان ري</t>
  </si>
  <si>
    <t>م النصر التربه ري</t>
  </si>
  <si>
    <t>ص الريان الدمنه ري</t>
  </si>
  <si>
    <t>م القادسيه القاعده ري</t>
  </si>
  <si>
    <t>ص المركزيه الشرمان ري</t>
  </si>
  <si>
    <t>مس الوحده    مفرق ماويه ري</t>
  </si>
  <si>
    <t>م الكوثر ري</t>
  </si>
  <si>
    <t>مركز  النور   نجد قسيم ري</t>
  </si>
  <si>
    <t>م لطف ري</t>
  </si>
  <si>
    <t>مخزن الشفاء المسراخ ري</t>
  </si>
  <si>
    <t>م الامين   البرح ري</t>
  </si>
  <si>
    <t>ص اوسان    القاعدة ري</t>
  </si>
  <si>
    <t>م النجدة    القاعدة ري</t>
  </si>
  <si>
    <t>م القاضي   ماوية ري</t>
  </si>
  <si>
    <t>عيادة الشفاء   القاعدة ري</t>
  </si>
  <si>
    <t>ص المصطفى ري</t>
  </si>
  <si>
    <t>م الجبل ري</t>
  </si>
  <si>
    <t>ص الجزيرة ري</t>
  </si>
  <si>
    <t>ص عزت ري</t>
  </si>
  <si>
    <t>م القدس السوايداء ري</t>
  </si>
  <si>
    <t>محلات المطهر ري</t>
  </si>
  <si>
    <t>د/ رافت المصعدي مندوب المتحدة ري</t>
  </si>
  <si>
    <t>ص لبنان ري</t>
  </si>
  <si>
    <t>ص دار الصحة ري</t>
  </si>
  <si>
    <t>محلات الامل وجدي مهيوب ري</t>
  </si>
  <si>
    <t>صيدلية ناصر  تعز ري</t>
  </si>
  <si>
    <t>م / بن حميد - الدمنة ري</t>
  </si>
  <si>
    <t>ص الاخوة د/عبدالرحمن جامل ري</t>
  </si>
  <si>
    <t>مش دبي التخصصي ري</t>
  </si>
  <si>
    <t>ص جنات ري</t>
  </si>
  <si>
    <t>مركز التعاون ري</t>
  </si>
  <si>
    <t>مستشفى الفقيد / حمود عبدالله ري</t>
  </si>
  <si>
    <t>مخزن الحجازي ري</t>
  </si>
  <si>
    <t>موسسة الزيلعي الخيرية ري</t>
  </si>
  <si>
    <t>صيدلية دبي - المفرق ري</t>
  </si>
  <si>
    <t>صيدلية البوابة الطبية ري</t>
  </si>
  <si>
    <t>صيدلية التعاون - مفرق ماوية ري</t>
  </si>
  <si>
    <t>الصيدلية المركزية 3 - القاعدة ري</t>
  </si>
  <si>
    <t>د عبدالكريم الكمالي ري</t>
  </si>
  <si>
    <t>م محمد العربي - القاعدة ري</t>
  </si>
  <si>
    <t>م بن حاتم - الذكره ري</t>
  </si>
  <si>
    <t>عبدالملك الحارثي ري</t>
  </si>
  <si>
    <t>مستوصف النخبة النموذجي ري</t>
  </si>
  <si>
    <t>م الفواد للادوية ري</t>
  </si>
  <si>
    <t>مركز الوفاء الطبي ري</t>
  </si>
  <si>
    <t>مستشفى الزمالة ري</t>
  </si>
  <si>
    <t>عبدالكريم الوصابي ري</t>
  </si>
  <si>
    <t>فواد الكمالي ري</t>
  </si>
  <si>
    <t>م الوفاء - الشرمان ري</t>
  </si>
  <si>
    <t>محمد عبدالقوي ري</t>
  </si>
  <si>
    <t>عيادة المختار ري</t>
  </si>
  <si>
    <t>ص اليمنية - الحوبان ري</t>
  </si>
  <si>
    <t>عيادة الرحمة د/امين درهم ري</t>
  </si>
  <si>
    <t>مركزالقدسي ري</t>
  </si>
  <si>
    <t>مركز الدكتور عبداللطيف السلمي ري</t>
  </si>
  <si>
    <t>صيدلية الرائد ري</t>
  </si>
  <si>
    <t>ص التخصصية - هجده ري</t>
  </si>
  <si>
    <t>مس / الرعاية الطبية ري</t>
  </si>
  <si>
    <t>صيدلية الفيصل ري</t>
  </si>
  <si>
    <t>صيدلية القسام - السويداء ري</t>
  </si>
  <si>
    <t>صيدلية العماد المركزية ري</t>
  </si>
  <si>
    <t>م المهيوب د/صلاح ري</t>
  </si>
  <si>
    <t>د/محمد العلواني ري</t>
  </si>
  <si>
    <t>صيدلية المنار ري</t>
  </si>
  <si>
    <t>صيدلية المصطفى - الحوبان ري</t>
  </si>
  <si>
    <t>صيدلية تاج الشفاء ري</t>
  </si>
  <si>
    <t>صيدلية الجوهرة ري</t>
  </si>
  <si>
    <t>م ابو عدي للادوية ري</t>
  </si>
  <si>
    <t>د عبدالرحمن الغالبي ري</t>
  </si>
  <si>
    <t>صيدلية دار الدواء   مفرق ماوية ري</t>
  </si>
  <si>
    <t>صيدلية المركزية - المفرق ري</t>
  </si>
  <si>
    <t>عيادة الدكتور عبدالباسط ري</t>
  </si>
  <si>
    <t>عبدالرب    مفرق ماوية ري</t>
  </si>
  <si>
    <t>صيدلية ابن حيان  مفرق ماوية ري</t>
  </si>
  <si>
    <t>مخزن الجمال والصحة    السويداء ري</t>
  </si>
  <si>
    <t>مخزن الحياة ميدكال      القاعدة ري</t>
  </si>
  <si>
    <t>مركز الامل الطبي  القاعدة ري</t>
  </si>
  <si>
    <t>الدكتور محمد العريقي   مفرق ماوية ري</t>
  </si>
  <si>
    <t>المركز الطبي الحديث     مفرق ماوية ري</t>
  </si>
  <si>
    <t>صيدلية عالم الصيدلانيات   مفرق ماوية ري</t>
  </si>
  <si>
    <t>دكتور عرفات الكمالي      شرعب ري</t>
  </si>
  <si>
    <t>مخزن المنار    نقيل الابل ري</t>
  </si>
  <si>
    <t>صيدلية الفتح    الحوبان ري</t>
  </si>
  <si>
    <t>مخزن الشموخ ري</t>
  </si>
  <si>
    <t>صيدلية الزكري - مفرق ماوية ري</t>
  </si>
  <si>
    <t>مخازن مجموعة مستشفيات الرفاعي ري</t>
  </si>
  <si>
    <t>مركز الخليفة النموذجي ري</t>
  </si>
  <si>
    <t>ص عالم الصيدلة ــ الحوبان ري</t>
  </si>
  <si>
    <t>صيدلية انس ـ المفرق ري</t>
  </si>
  <si>
    <t>ص الكوثر ـ القاعدة احمد الخرساني ري</t>
  </si>
  <si>
    <t>ابن السلطان ـ تعز ري</t>
  </si>
  <si>
    <t>محلات المليكي فارما ـ ذي السفال ري</t>
  </si>
  <si>
    <t>ص / علاء القاعدة ـ مش السلطان ري</t>
  </si>
  <si>
    <t>صيدلية السلام ــ مفرق ماوية ري</t>
  </si>
  <si>
    <t>مخزن الخالد الطبي ـ مفرق ماوية ري</t>
  </si>
  <si>
    <t>ص / البغدادي 2 ــ القاعدة ري</t>
  </si>
  <si>
    <t>محلات عبدالكريم الذاري ري</t>
  </si>
  <si>
    <t>صيدلية المتحدة د / عبدالباسط ري</t>
  </si>
  <si>
    <t>مستشفى الخليج ــ الحوبان ري</t>
  </si>
  <si>
    <t>مركز د / عادل القباطي ري</t>
  </si>
  <si>
    <t>محلات الشامل للادوية ري</t>
  </si>
  <si>
    <t>مركز د / حسن السقاف ري</t>
  </si>
  <si>
    <t>مستوصف الذكرة ري</t>
  </si>
  <si>
    <t>صيدلية القحطاني ـ المفرق ري</t>
  </si>
  <si>
    <t>صيدلية المجد ــ الراهدة ري</t>
  </si>
  <si>
    <t>عيادة الدكتورة شوقية ري</t>
  </si>
  <si>
    <t>صيدلية البسام الحديثة ري</t>
  </si>
  <si>
    <t>صيدلية الماهر ـ هجدة ري</t>
  </si>
  <si>
    <t>موسسة الحرمين / القسم الخيري ري</t>
  </si>
  <si>
    <t>مركز عدن الطبي ري</t>
  </si>
  <si>
    <t>صيدلية د / علي نعمان ري</t>
  </si>
  <si>
    <t>صيدلية الجزيرة ـ هجدة ري</t>
  </si>
  <si>
    <t>مخزن مسعود للادوية ري</t>
  </si>
  <si>
    <t>مندوب راميدا تعز د / عبدالله المحياء ري</t>
  </si>
  <si>
    <t>مستشفى الرفاعي النموذجي ري</t>
  </si>
  <si>
    <t>صيدلية طيبة ـ الراهدة ري</t>
  </si>
  <si>
    <t>صيدلية حسام المركزية ري</t>
  </si>
  <si>
    <t>عيادة د / سناء بجاش ري</t>
  </si>
  <si>
    <t>محلات الباشا للادوية ري</t>
  </si>
  <si>
    <t>عيادة ومختبرات المصري ري</t>
  </si>
  <si>
    <t>عيادة د / سحر العهامي ري</t>
  </si>
  <si>
    <t>مركز المجد الطبي ري</t>
  </si>
  <si>
    <t>مركز الخالد الطبي النموذجي ري</t>
  </si>
  <si>
    <t>مخزن الحميدي ري</t>
  </si>
  <si>
    <t>مخزن الراشد السويداء ري</t>
  </si>
  <si>
    <t>صيدلية الدواء فارما    القاعدة ري</t>
  </si>
  <si>
    <t>صيدلية الحوبان ري</t>
  </si>
  <si>
    <t>مركز صحتك الطبي    شرعب ري</t>
  </si>
  <si>
    <t>مركز التميمي ري</t>
  </si>
  <si>
    <t>صيدلية البغدادي3 ري</t>
  </si>
  <si>
    <t>صيدلية عدنان فارما ري</t>
  </si>
  <si>
    <t>صيدلية الوئام ري</t>
  </si>
  <si>
    <t>مخزن ابن الحسين    مفرق ذي السفال ري</t>
  </si>
  <si>
    <t>صيدلية المهدي  الحوبان ري</t>
  </si>
  <si>
    <t>مخزن الخير  د/فهد ري</t>
  </si>
  <si>
    <t>عيادة د/سليم السامعي ري</t>
  </si>
  <si>
    <t>مركز د/فؤاد الصبري ري</t>
  </si>
  <si>
    <t>صيدلية نصر فارما ري</t>
  </si>
  <si>
    <t>صيدلية كابيتال المركزية ري</t>
  </si>
  <si>
    <t>عيادة د/عبده علي حزام ري</t>
  </si>
  <si>
    <t>مستشفى النخبة الدولي ري</t>
  </si>
  <si>
    <t>صيدلية بلسم صحتي ري</t>
  </si>
  <si>
    <t>صيدلية العماد المركزية  شرعب ري</t>
  </si>
  <si>
    <t>صيدلية النجم ري</t>
  </si>
  <si>
    <t>العيادة المثالية ري</t>
  </si>
  <si>
    <t>صيدلية المحمدي ري</t>
  </si>
  <si>
    <t>صيدلية الحمد   القاعدة ري</t>
  </si>
  <si>
    <t>صيدلية ضحى عرفات القباطي ري</t>
  </si>
  <si>
    <t>الصيدلية المركزية الذهبية ري</t>
  </si>
  <si>
    <t>مركز الكمالي الطبي الحديث  شرعب ري</t>
  </si>
  <si>
    <t>عيادة د/دعاء الراجحي ري</t>
  </si>
  <si>
    <t>صيدلية عالم الدواء فارما ري</t>
  </si>
  <si>
    <t>مخزن رياض ري</t>
  </si>
  <si>
    <t>د/عبدالعزيز المليكي  مندوب جوسوي ري</t>
  </si>
  <si>
    <t>صيدلية الطوفان فارما ري</t>
  </si>
  <si>
    <t>apmد/معتز الحماطي مندوب ري</t>
  </si>
  <si>
    <t>صيدلية الشرماني ري</t>
  </si>
  <si>
    <t>مستوصف سما الطبي ري</t>
  </si>
  <si>
    <t>ص/طيبة الحوبان ري</t>
  </si>
  <si>
    <t>صيدلية الصفاء ري</t>
  </si>
  <si>
    <t>عيادة د مصطفى دبوان ري</t>
  </si>
  <si>
    <t>صيدلية 7 اكتوبر المركزية ري</t>
  </si>
  <si>
    <t>عيادة د/يسرى القباطي ري</t>
  </si>
  <si>
    <t>صيدلية المنسامي للادوية ري</t>
  </si>
  <si>
    <t>مركز الاخوين الطبي التشخيصي ري</t>
  </si>
  <si>
    <t>صيدلية شجاع المركزية ري</t>
  </si>
  <si>
    <t>عيادة الحياة الشرمان ري</t>
  </si>
  <si>
    <t>عيادة الدكتور محمد حسن الشرعبي ري</t>
  </si>
  <si>
    <t>صيدلية الزهراء المركزية ري</t>
  </si>
  <si>
    <t>صيدلية اكرم فارما ري</t>
  </si>
  <si>
    <t>صيدلية الروضة فارما الحوبان ري</t>
  </si>
  <si>
    <t>مجمع الدكتور وائل محمد السقاف الطبي ري</t>
  </si>
  <si>
    <t>ضياء الصبري مندوب العربية ري</t>
  </si>
  <si>
    <t>صيدلية الشرق المركزية ري</t>
  </si>
  <si>
    <t xml:space="preserve">التسديدات من بداية العام  </t>
  </si>
  <si>
    <t xml:space="preserve">مطابق </t>
  </si>
  <si>
    <t xml:space="preserve">محمد القدسي </t>
  </si>
  <si>
    <t xml:space="preserve">انتصار بجاش </t>
  </si>
  <si>
    <t>772 753 735</t>
  </si>
  <si>
    <t>الرصيد مطابق</t>
  </si>
  <si>
    <t>محمد القدسي</t>
  </si>
  <si>
    <t>775 108 135</t>
  </si>
  <si>
    <t xml:space="preserve">غير مطابق </t>
  </si>
  <si>
    <t>771 411 272</t>
  </si>
  <si>
    <t xml:space="preserve">محمود </t>
  </si>
  <si>
    <t>736 394 646</t>
  </si>
  <si>
    <t xml:space="preserve">وليد عبدالله </t>
  </si>
  <si>
    <t>770 096 260</t>
  </si>
  <si>
    <t>محمد لطف</t>
  </si>
  <si>
    <t xml:space="preserve">الرصيد مطابق </t>
  </si>
  <si>
    <t xml:space="preserve">عيسى احمد </t>
  </si>
  <si>
    <t>778 014 102</t>
  </si>
  <si>
    <t>737 620 334</t>
  </si>
  <si>
    <t xml:space="preserve">معاذ احمد </t>
  </si>
  <si>
    <t>772 967 664</t>
  </si>
  <si>
    <t>محمد قائد</t>
  </si>
  <si>
    <t>771 168 502</t>
  </si>
  <si>
    <t>علاء الشرعبي</t>
  </si>
  <si>
    <t>783 385 099</t>
  </si>
  <si>
    <t>جبران الع</t>
  </si>
  <si>
    <t>733 722 992</t>
  </si>
  <si>
    <t>غير مطابق</t>
  </si>
  <si>
    <t>04 218 245</t>
  </si>
  <si>
    <t xml:space="preserve">بلقيس الجندي </t>
  </si>
  <si>
    <t>780 289 111</t>
  </si>
  <si>
    <t xml:space="preserve">تم وعده من قبل المندوبين عمر عباس ،عبدالكريم الكمالي, تعويضات لهذا الرصيد خامل </t>
  </si>
  <si>
    <t>771 699 205</t>
  </si>
  <si>
    <t xml:space="preserve">الرصيد تم انزاله من قبل المندوب رافت المصعدي </t>
  </si>
  <si>
    <t xml:space="preserve">جلال العريقي </t>
  </si>
  <si>
    <t>774 830 307</t>
  </si>
  <si>
    <t>738 691 075</t>
  </si>
  <si>
    <t>777 791 903</t>
  </si>
  <si>
    <t>770 980 862</t>
  </si>
  <si>
    <t xml:space="preserve">محمد عبده </t>
  </si>
  <si>
    <t xml:space="preserve">عمر عباس </t>
  </si>
  <si>
    <t xml:space="preserve">سامي يوسف </t>
  </si>
  <si>
    <t>737 420 382</t>
  </si>
  <si>
    <t>خليل الكحلاني</t>
  </si>
  <si>
    <t>770 758 090</t>
  </si>
  <si>
    <t>739 709 496</t>
  </si>
  <si>
    <t xml:space="preserve">774 554 384 </t>
  </si>
  <si>
    <t>739 458 263</t>
  </si>
  <si>
    <t>777 394 300</t>
  </si>
  <si>
    <t>777 771 189</t>
  </si>
  <si>
    <t xml:space="preserve">عبدالرحمن العريقي </t>
  </si>
  <si>
    <t>771 678 303</t>
  </si>
  <si>
    <t>777 634 889</t>
  </si>
  <si>
    <t>736 749 235</t>
  </si>
  <si>
    <t>777 994 080</t>
  </si>
  <si>
    <t>738 695 149</t>
  </si>
  <si>
    <t>777 672 455</t>
  </si>
  <si>
    <t>733 019 161</t>
  </si>
  <si>
    <t>773 155 128</t>
  </si>
  <si>
    <t>773 973 912</t>
  </si>
  <si>
    <t>771 119 209</t>
  </si>
  <si>
    <t>سعيد المهمي</t>
  </si>
  <si>
    <t>772 353 543</t>
  </si>
  <si>
    <t>734 474 177</t>
  </si>
  <si>
    <t xml:space="preserve">مقبل محمد </t>
  </si>
  <si>
    <t>777 445 544</t>
  </si>
  <si>
    <t>738 549 472</t>
  </si>
  <si>
    <t>716 129 000</t>
  </si>
  <si>
    <t>770 181 318</t>
  </si>
  <si>
    <t>777 271 915</t>
  </si>
  <si>
    <t>772 109 574</t>
  </si>
  <si>
    <t xml:space="preserve">فواز خليل </t>
  </si>
  <si>
    <t xml:space="preserve">صنف غير مستلم يوركوكس من فاتورة رقم 772 109 </t>
  </si>
  <si>
    <t>772 753 164</t>
  </si>
  <si>
    <t>774 096 006</t>
  </si>
  <si>
    <t>738 661 899</t>
  </si>
  <si>
    <t>770 890 844</t>
  </si>
  <si>
    <t>777 494 690</t>
  </si>
  <si>
    <t>775 023 013</t>
  </si>
  <si>
    <t>773 309 158</t>
  </si>
  <si>
    <t>770 016 950</t>
  </si>
  <si>
    <t xml:space="preserve">محمد احمد </t>
  </si>
  <si>
    <t xml:space="preserve">بشار الرياشي </t>
  </si>
  <si>
    <t xml:space="preserve">زكريا احمد </t>
  </si>
  <si>
    <t xml:space="preserve">علي قاسم </t>
  </si>
  <si>
    <t>الاء محمود</t>
  </si>
  <si>
    <t xml:space="preserve">محمد الدميني </t>
  </si>
  <si>
    <t>محمد العربي</t>
  </si>
  <si>
    <t xml:space="preserve">فؤاد سعيد </t>
  </si>
  <si>
    <t xml:space="preserve">علاء الخرساني </t>
  </si>
  <si>
    <t xml:space="preserve">بشير حامد </t>
  </si>
  <si>
    <t>775 490 643</t>
  </si>
  <si>
    <t xml:space="preserve">محمد السامعي </t>
  </si>
  <si>
    <t>محمد الشرعبي</t>
  </si>
  <si>
    <t>777 263 204</t>
  </si>
  <si>
    <t xml:space="preserve">احمد </t>
  </si>
  <si>
    <t xml:space="preserve">فهد علوي </t>
  </si>
  <si>
    <t xml:space="preserve">سامر عبدالرحمن </t>
  </si>
  <si>
    <t xml:space="preserve">حمد الشرماني </t>
  </si>
  <si>
    <t xml:space="preserve">مرسل رسام </t>
  </si>
  <si>
    <t>عدنان عبدالله</t>
  </si>
  <si>
    <t xml:space="preserve">ايمن عبدالله </t>
  </si>
  <si>
    <t xml:space="preserve">وجدان القباطي </t>
  </si>
  <si>
    <t>عبدالسلام عبدالرثيب</t>
  </si>
  <si>
    <t>771 404 948</t>
  </si>
  <si>
    <t xml:space="preserve">الحسابات </t>
  </si>
  <si>
    <t>فارق مبلغ 3,800 + اختلاف العمولة السنوية لعام 24</t>
  </si>
  <si>
    <t xml:space="preserve">رمزي عبدالله </t>
  </si>
  <si>
    <t>عبددالله سعيد</t>
  </si>
  <si>
    <t xml:space="preserve">عمار السروري </t>
  </si>
  <si>
    <t>جمال سعيد</t>
  </si>
  <si>
    <t xml:space="preserve">علي فارع </t>
  </si>
  <si>
    <t xml:space="preserve">نقص من الطلبية نيروفيت بملغ 140,000 </t>
  </si>
  <si>
    <t>774 481 442</t>
  </si>
  <si>
    <t>730 909 392</t>
  </si>
  <si>
    <t xml:space="preserve">قائد عبدالله </t>
  </si>
  <si>
    <t>صامد علي</t>
  </si>
  <si>
    <t>عبدالرقيب السنحاني</t>
  </si>
  <si>
    <t xml:space="preserve">عبدالعزيز العلواني </t>
  </si>
  <si>
    <t>774 562 621</t>
  </si>
  <si>
    <t xml:space="preserve">فتحي عبدالله </t>
  </si>
  <si>
    <t xml:space="preserve">ابراهيم احمد </t>
  </si>
  <si>
    <t>لم يطابق</t>
  </si>
  <si>
    <t xml:space="preserve">لم يطابق </t>
  </si>
  <si>
    <t>لم نجد المحاسبة</t>
  </si>
  <si>
    <t xml:space="preserve">يتم عكس على الموزع لعدم زيارته او وجودها </t>
  </si>
  <si>
    <t>مغلق ويتم عكسه</t>
  </si>
  <si>
    <t>مخازن السابق</t>
  </si>
  <si>
    <t>قيد المراجعة ( معه )</t>
  </si>
  <si>
    <t>فهمي محمد</t>
  </si>
  <si>
    <t>775 367 236</t>
  </si>
  <si>
    <t>773 831 118</t>
  </si>
  <si>
    <t>فارس القباطي</t>
  </si>
  <si>
    <t>730 282 571</t>
  </si>
  <si>
    <t>محمد المهامي</t>
  </si>
  <si>
    <t>772 525 771</t>
  </si>
  <si>
    <t xml:space="preserve">علي فهد </t>
  </si>
  <si>
    <t>738 074 093</t>
  </si>
  <si>
    <t>عمار كامل</t>
  </si>
  <si>
    <t>777 162 658</t>
  </si>
  <si>
    <t>نشوان سعيد</t>
  </si>
  <si>
    <t>775 667 575</t>
  </si>
  <si>
    <t xml:space="preserve">مالك سعيد </t>
  </si>
  <si>
    <t>778 337 210</t>
  </si>
  <si>
    <t xml:space="preserve">جمال جميل </t>
  </si>
  <si>
    <t>777 295 932</t>
  </si>
  <si>
    <t>محمد الزبيري</t>
  </si>
  <si>
    <t>770 858 804</t>
  </si>
  <si>
    <t xml:space="preserve">جميل راجح </t>
  </si>
  <si>
    <t>777 741 064</t>
  </si>
  <si>
    <t xml:space="preserve">ماجد المقطري </t>
  </si>
  <si>
    <t xml:space="preserve">فارق فاتورة غير مستلمة تم اخذها من قبل د عبدالكريم الكمالي بقيمة 155,000 وتم توريد المبلغ </t>
  </si>
  <si>
    <t>محمد عبدالله</t>
  </si>
  <si>
    <t>730 095 731</t>
  </si>
  <si>
    <t xml:space="preserve">احمد عباس </t>
  </si>
  <si>
    <t xml:space="preserve">العميل يفيد بعد تشيك البضاعة بعدم وصول. يونص الفاتورة رقم 525 بلوبرس 16 و16 بلس عشرة بواكت </t>
  </si>
  <si>
    <t>تاجر شنطة يتم تصفيتة بحسب التوجيهات</t>
  </si>
  <si>
    <t>يتم تصفية كونه لا يوجد لديه محل لزيارته</t>
  </si>
  <si>
    <t>يسرى القباطي</t>
  </si>
  <si>
    <t>773 598 136</t>
  </si>
  <si>
    <t>صدام حسين</t>
  </si>
  <si>
    <t>كمال اسماعيل</t>
  </si>
  <si>
    <t xml:space="preserve">يوجد مرتجع 16 باكت بي كور 2.5 تم اخذه بدون استلم من الموزع </t>
  </si>
  <si>
    <t xml:space="preserve">عبدالمجيد حمزة </t>
  </si>
  <si>
    <t>773 321 611</t>
  </si>
  <si>
    <t xml:space="preserve">راشد قاسم </t>
  </si>
  <si>
    <t>مشكلة من المندوب عبدالله المحيا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</si>
</sst>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-;#,##0\-"/>
    <numFmt numFmtId="165" formatCode="[$-F800]dddd\,\ mmmm\ dd\,\ yyyy"/>
    <numFmt numFmtId="166" formatCode="[$-1170000]B2dd/mm/yyyy"/>
    <numFmt numFmtId="167" formatCode="[$-1010409]d/m/yyyy\ h:mm\ AM/PM"/>
  </numFmts>
  <fonts count="16" x14ac:knownFonts="1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Arial"/>
    </font>
    <font>
      <u/>
      <sz val="14"/>
      <color rgb="FFFF0000"/>
      <name val="Arial"/>
    </font>
    <font>
      <b/>
      <u/>
      <sz val="22"/>
      <color rgb="FF000000"/>
      <name val="Arial"/>
    </font>
    <font>
      <b/>
      <sz val="14"/>
      <color rgb="FF000000"/>
      <name val="Arial"/>
    </font>
    <font>
      <b/>
      <u/>
      <sz val="14"/>
      <color rgb="FFFF0000"/>
      <name val="Arial"/>
    </font>
    <font>
      <sz val="14"/>
      <name val="Arial"/>
    </font>
    <font>
      <b/>
      <sz val="10"/>
      <color rgb="FF000000"/>
      <name val="Arial"/>
    </font>
    <font>
      <b/>
      <u/>
      <sz val="14"/>
      <color rgb="FFFF0000"/>
      <name val="Arial"/>
    </font>
    <font>
      <b/>
      <sz val="12"/>
      <color rgb="FF000000"/>
      <name val="Arial"/>
    </font>
    <font>
      <b/>
      <u/>
      <sz val="14"/>
      <color rgb="FFFF0000"/>
      <name val="Arial"/>
    </font>
    <font>
      <b/>
      <u/>
      <sz val="14"/>
      <color rgb="FFFF0000"/>
      <name val="Arial"/>
    </font>
    <font>
      <b/>
      <u/>
      <sz val="14"/>
      <color rgb="FFFF0000"/>
      <name val="Arial"/>
    </font>
    <font>
      <b/>
      <sz val="14"/>
      <color rgb="FF000000"/>
      <name val="Arial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1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22" fontId="2" fillId="0" borderId="0" xfId="0" applyNumberFormat="1" applyFont="1" applyAlignment="1">
      <alignment vertical="top"/>
    </xf>
    <xf numFmtId="0" fontId="3" fillId="2" borderId="1" xfId="0" applyFont="1" applyFill="1" applyBorder="1" applyAlignment="1">
      <alignment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3" fontId="8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4" fontId="8" fillId="0" borderId="6" xfId="0" applyNumberFormat="1" applyFont="1" applyBorder="1" applyAlignment="1">
      <alignment horizontal="center" vertical="center"/>
    </xf>
    <xf numFmtId="4" fontId="10" fillId="0" borderId="6" xfId="0" applyNumberFormat="1" applyFont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7" fontId="11" fillId="2" borderId="2" xfId="0" applyNumberFormat="1" applyFont="1" applyFill="1" applyBorder="1" applyAlignment="1">
      <alignment horizontal="center" vertical="center"/>
    </xf>
    <xf numFmtId="167" fontId="12" fillId="2" borderId="2" xfId="0" applyNumberFormat="1" applyFont="1" applyFill="1" applyBorder="1" applyAlignment="1">
      <alignment horizontal="center" vertical="center"/>
    </xf>
    <xf numFmtId="3" fontId="13" fillId="2" borderId="7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3" fontId="13" fillId="2" borderId="2" xfId="0" applyNumberFormat="1" applyFont="1" applyFill="1" applyBorder="1" applyAlignment="1">
      <alignment horizontal="center" vertical="center"/>
    </xf>
    <xf numFmtId="3" fontId="9" fillId="2" borderId="7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16744950" cy="876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2"/>
  <sheetViews>
    <sheetView workbookViewId="0"/>
  </sheetViews>
  <sheetFormatPr defaultColWidth="14.29296875" defaultRowHeight="15" customHeight="1" x14ac:dyDescent="0.15"/>
  <cols>
    <col min="1" max="4" width="6.7421875" customWidth="1"/>
    <col min="5" max="5" width="15.5078125" customWidth="1"/>
    <col min="6" max="14" width="6.7421875" customWidth="1"/>
  </cols>
  <sheetData>
    <row r="1" spans="1:13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15">
      <c r="A2" s="1" t="s">
        <v>13</v>
      </c>
    </row>
    <row r="3" spans="1:13" ht="15" customHeight="1" x14ac:dyDescent="0.15">
      <c r="A3" s="2">
        <v>3439440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3361161.96</v>
      </c>
      <c r="H3" s="2">
        <v>27569966</v>
      </c>
      <c r="I3" s="2">
        <v>0</v>
      </c>
      <c r="J3" s="2">
        <v>58840585</v>
      </c>
      <c r="K3" s="2">
        <v>15319633.34</v>
      </c>
      <c r="L3" s="2">
        <v>43229090.380000003</v>
      </c>
      <c r="M3" s="1" t="s">
        <v>14</v>
      </c>
    </row>
    <row r="4" spans="1:13" ht="15" customHeight="1" x14ac:dyDescent="0.15">
      <c r="A4" s="2">
        <v>229845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1601990.49</v>
      </c>
      <c r="H4" s="2">
        <v>11022148</v>
      </c>
      <c r="I4" s="2">
        <v>0</v>
      </c>
      <c r="J4" s="2">
        <v>29011040</v>
      </c>
      <c r="K4" s="2">
        <v>4604949.04</v>
      </c>
      <c r="L4" s="2">
        <v>20991850.550000001</v>
      </c>
      <c r="M4" s="1" t="s">
        <v>15</v>
      </c>
    </row>
    <row r="5" spans="1:13" ht="15" customHeight="1" x14ac:dyDescent="0.15">
      <c r="A5" s="2">
        <v>723030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1125024.94</v>
      </c>
      <c r="H5" s="2">
        <v>16675451</v>
      </c>
      <c r="I5" s="2">
        <v>0</v>
      </c>
      <c r="J5" s="2">
        <v>19926620</v>
      </c>
      <c r="K5" s="2">
        <v>15091877.130000001</v>
      </c>
      <c r="L5" s="2">
        <v>17218021.190000001</v>
      </c>
      <c r="M5" s="1" t="s">
        <v>16</v>
      </c>
    </row>
    <row r="6" spans="1:13" ht="15" customHeight="1" x14ac:dyDescent="0.1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5904445.9100000001</v>
      </c>
      <c r="H6" s="2">
        <v>20912255</v>
      </c>
      <c r="I6" s="2">
        <v>0</v>
      </c>
      <c r="J6" s="2">
        <v>19034020</v>
      </c>
      <c r="K6" s="2">
        <v>18722821.27</v>
      </c>
      <c r="L6" s="2">
        <v>10940140.359999999</v>
      </c>
      <c r="M6" s="1" t="s">
        <v>17</v>
      </c>
    </row>
    <row r="7" spans="1:13" ht="15" customHeight="1" x14ac:dyDescent="0.15">
      <c r="A7" s="2">
        <v>0</v>
      </c>
      <c r="B7" s="2">
        <v>0</v>
      </c>
      <c r="C7" s="2">
        <v>0</v>
      </c>
      <c r="D7" s="2">
        <v>0</v>
      </c>
      <c r="E7" s="2">
        <v>5221513</v>
      </c>
      <c r="F7" s="2">
        <v>0</v>
      </c>
      <c r="G7" s="2">
        <v>627445.9</v>
      </c>
      <c r="H7" s="2">
        <v>9176795</v>
      </c>
      <c r="I7" s="2">
        <v>0</v>
      </c>
      <c r="J7" s="2">
        <v>9030170</v>
      </c>
      <c r="K7" s="2">
        <v>6412233.8500000006</v>
      </c>
      <c r="L7" s="2">
        <v>10859675.950000001</v>
      </c>
      <c r="M7" s="1" t="s">
        <v>18</v>
      </c>
    </row>
    <row r="8" spans="1:13" ht="15" customHeight="1" x14ac:dyDescent="0.1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169650</v>
      </c>
      <c r="H8" s="2">
        <v>0</v>
      </c>
      <c r="I8" s="2">
        <v>0</v>
      </c>
      <c r="J8" s="2">
        <v>0</v>
      </c>
      <c r="K8" s="2">
        <v>9215021.3599999994</v>
      </c>
      <c r="L8" s="2">
        <v>9045371.3599999994</v>
      </c>
      <c r="M8" s="1" t="s">
        <v>19</v>
      </c>
    </row>
    <row r="9" spans="1:13" ht="15" customHeight="1" x14ac:dyDescent="0.15">
      <c r="A9" s="2">
        <v>486255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2214144.89</v>
      </c>
      <c r="H9" s="2">
        <v>1708600</v>
      </c>
      <c r="I9" s="2">
        <v>0</v>
      </c>
      <c r="J9" s="2">
        <v>13213790</v>
      </c>
      <c r="K9" s="2">
        <v>-438646.34</v>
      </c>
      <c r="L9" s="2">
        <v>8852398.7699999996</v>
      </c>
      <c r="M9" s="1" t="s">
        <v>20</v>
      </c>
    </row>
    <row r="10" spans="1:13" ht="15" customHeight="1" x14ac:dyDescent="0.1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693000.6</v>
      </c>
      <c r="H10" s="2">
        <v>9555457</v>
      </c>
      <c r="I10" s="2">
        <v>0</v>
      </c>
      <c r="J10" s="2">
        <v>8505400</v>
      </c>
      <c r="K10" s="2">
        <v>9547159.8699999992</v>
      </c>
      <c r="L10" s="2">
        <v>7804102.2700000005</v>
      </c>
      <c r="M10" s="1" t="s">
        <v>21</v>
      </c>
    </row>
    <row r="11" spans="1:13" ht="15" customHeight="1" x14ac:dyDescent="0.15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5480076.3399999999</v>
      </c>
      <c r="H11" s="2">
        <v>1100000</v>
      </c>
      <c r="I11" s="2">
        <v>0</v>
      </c>
      <c r="J11" s="2">
        <v>0</v>
      </c>
      <c r="K11" s="2">
        <v>14370189.030000001</v>
      </c>
      <c r="L11" s="2">
        <v>7790112.6900000004</v>
      </c>
      <c r="M11" s="1" t="s">
        <v>22</v>
      </c>
    </row>
    <row r="12" spans="1:13" ht="15" customHeight="1" x14ac:dyDescent="0.15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111238.47</v>
      </c>
      <c r="H12" s="2">
        <v>0</v>
      </c>
      <c r="I12" s="2">
        <v>0</v>
      </c>
      <c r="J12" s="2">
        <v>6866290</v>
      </c>
      <c r="K12" s="2">
        <v>246932.14</v>
      </c>
      <c r="L12" s="2">
        <v>7001983.6699999999</v>
      </c>
      <c r="M12" s="1" t="s">
        <v>23</v>
      </c>
    </row>
    <row r="13" spans="1:13" ht="15" customHeight="1" x14ac:dyDescent="0.15">
      <c r="A13" s="2">
        <v>0</v>
      </c>
      <c r="B13" s="2">
        <v>0</v>
      </c>
      <c r="C13" s="2">
        <v>0</v>
      </c>
      <c r="D13" s="2">
        <v>0</v>
      </c>
      <c r="E13" s="2">
        <v>3698085</v>
      </c>
      <c r="F13" s="2">
        <v>0</v>
      </c>
      <c r="G13" s="2">
        <v>262116</v>
      </c>
      <c r="H13" s="2">
        <v>6758085</v>
      </c>
      <c r="I13" s="2">
        <v>0</v>
      </c>
      <c r="J13" s="2">
        <v>5248250</v>
      </c>
      <c r="K13" s="2">
        <v>4937524.07</v>
      </c>
      <c r="L13" s="2">
        <v>6863658.0700000003</v>
      </c>
      <c r="M13" s="1" t="s">
        <v>24</v>
      </c>
    </row>
    <row r="14" spans="1:13" ht="15" customHeight="1" x14ac:dyDescent="0.15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6456338.0800000001</v>
      </c>
      <c r="L14" s="2">
        <v>6456338.0800000001</v>
      </c>
      <c r="M14" s="1" t="s">
        <v>25</v>
      </c>
    </row>
    <row r="15" spans="1:13" ht="15" customHeight="1" x14ac:dyDescent="0.1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1085171.8400000001</v>
      </c>
      <c r="H15" s="2">
        <v>2425160</v>
      </c>
      <c r="I15" s="2">
        <v>0</v>
      </c>
      <c r="J15" s="2">
        <v>8138670</v>
      </c>
      <c r="K15" s="2">
        <v>864100.44000000006</v>
      </c>
      <c r="L15" s="2">
        <v>5492438.6000000006</v>
      </c>
      <c r="M15" s="1" t="s">
        <v>26</v>
      </c>
    </row>
    <row r="16" spans="1:13" ht="15" customHeight="1" x14ac:dyDescent="0.15">
      <c r="A16" s="2">
        <v>1124845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995604.12</v>
      </c>
      <c r="H16" s="2">
        <v>15363905</v>
      </c>
      <c r="I16" s="2">
        <v>0</v>
      </c>
      <c r="J16" s="2">
        <v>18578694</v>
      </c>
      <c r="K16" s="2">
        <v>3265099.7600000002</v>
      </c>
      <c r="L16" s="2">
        <v>5484284.6399999997</v>
      </c>
      <c r="M16" s="1" t="s">
        <v>27</v>
      </c>
    </row>
    <row r="17" spans="1:13" ht="15" customHeight="1" x14ac:dyDescent="0.15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950000</v>
      </c>
      <c r="I17" s="2">
        <v>0</v>
      </c>
      <c r="J17" s="2">
        <v>0</v>
      </c>
      <c r="K17" s="2">
        <v>6167950.1200000001</v>
      </c>
      <c r="L17" s="2">
        <v>5217950.12</v>
      </c>
      <c r="M17" s="1" t="s">
        <v>28</v>
      </c>
    </row>
    <row r="18" spans="1:13" ht="15" customHeight="1" x14ac:dyDescent="0.15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3455400</v>
      </c>
      <c r="I18" s="2">
        <v>0</v>
      </c>
      <c r="J18" s="2">
        <v>4900580</v>
      </c>
      <c r="K18" s="2">
        <v>3567390.73</v>
      </c>
      <c r="L18" s="2">
        <v>5012570.7300000004</v>
      </c>
      <c r="M18" s="1" t="s">
        <v>29</v>
      </c>
    </row>
    <row r="19" spans="1:13" ht="15" customHeight="1" x14ac:dyDescent="0.1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800000</v>
      </c>
      <c r="I19" s="2">
        <v>0</v>
      </c>
      <c r="J19" s="2">
        <v>4509634</v>
      </c>
      <c r="K19" s="2">
        <v>972966</v>
      </c>
      <c r="L19" s="2">
        <v>4682600</v>
      </c>
      <c r="M19" s="1" t="s">
        <v>30</v>
      </c>
    </row>
    <row r="20" spans="1:13" ht="15" customHeight="1" x14ac:dyDescent="0.15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98289.55</v>
      </c>
      <c r="H20" s="2">
        <v>0</v>
      </c>
      <c r="I20" s="2">
        <v>0</v>
      </c>
      <c r="J20" s="2">
        <v>4823380</v>
      </c>
      <c r="K20" s="2">
        <v>-97915.21</v>
      </c>
      <c r="L20" s="2">
        <v>4627175.24</v>
      </c>
      <c r="M20" s="1" t="s">
        <v>31</v>
      </c>
    </row>
    <row r="21" spans="1:13" ht="15" customHeight="1" x14ac:dyDescent="0.15">
      <c r="A21" s="2">
        <v>148995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277644.03999999998</v>
      </c>
      <c r="H21" s="2">
        <v>21378797</v>
      </c>
      <c r="I21" s="2">
        <v>0</v>
      </c>
      <c r="J21" s="2">
        <v>23317150</v>
      </c>
      <c r="K21" s="2">
        <v>2951264.31</v>
      </c>
      <c r="L21" s="2">
        <v>4611973.2699999996</v>
      </c>
      <c r="M21" s="1" t="s">
        <v>32</v>
      </c>
    </row>
    <row r="22" spans="1:13" ht="15" customHeight="1" x14ac:dyDescent="0.15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4394901.55</v>
      </c>
      <c r="L22" s="2">
        <v>4394901.55</v>
      </c>
      <c r="M22" s="1" t="s">
        <v>33</v>
      </c>
    </row>
    <row r="23" spans="1:13" ht="15" customHeight="1" x14ac:dyDescent="0.1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79100</v>
      </c>
      <c r="H23" s="2">
        <v>1200000</v>
      </c>
      <c r="I23" s="2">
        <v>0</v>
      </c>
      <c r="J23" s="2">
        <v>1070576</v>
      </c>
      <c r="K23" s="2">
        <v>4458316.67</v>
      </c>
      <c r="L23" s="2">
        <v>4249792.67</v>
      </c>
      <c r="M23" s="1" t="s">
        <v>34</v>
      </c>
    </row>
    <row r="24" spans="1:13" ht="15" customHeight="1" x14ac:dyDescent="0.15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900000</v>
      </c>
      <c r="I24" s="2">
        <v>0</v>
      </c>
      <c r="J24" s="2">
        <v>5002264</v>
      </c>
      <c r="K24" s="2">
        <v>70337.03</v>
      </c>
      <c r="L24" s="2">
        <v>4172601.0300000003</v>
      </c>
      <c r="M24" s="1" t="s">
        <v>35</v>
      </c>
    </row>
    <row r="25" spans="1:13" ht="15" customHeight="1" x14ac:dyDescent="0.15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47250</v>
      </c>
      <c r="H25" s="2">
        <v>1300000</v>
      </c>
      <c r="I25" s="2">
        <v>0</v>
      </c>
      <c r="J25" s="2">
        <v>3913239</v>
      </c>
      <c r="K25" s="2">
        <v>1558357.3900000001</v>
      </c>
      <c r="L25" s="2">
        <v>4124346.39</v>
      </c>
      <c r="M25" s="1" t="s">
        <v>36</v>
      </c>
    </row>
    <row r="26" spans="1:13" ht="15" customHeight="1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323522.92</v>
      </c>
      <c r="H26" s="2">
        <v>3775000</v>
      </c>
      <c r="I26" s="2">
        <v>0</v>
      </c>
      <c r="J26" s="2">
        <v>4260775</v>
      </c>
      <c r="K26" s="2">
        <v>3839223.7800000003</v>
      </c>
      <c r="L26" s="2">
        <v>4001475.86</v>
      </c>
      <c r="M26" s="1" t="s">
        <v>37</v>
      </c>
    </row>
    <row r="27" spans="1:13" ht="15" customHeight="1" x14ac:dyDescent="0.15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400000</v>
      </c>
      <c r="I27" s="2">
        <v>0</v>
      </c>
      <c r="J27" s="2">
        <v>0</v>
      </c>
      <c r="K27" s="2">
        <v>4284780.92</v>
      </c>
      <c r="L27" s="2">
        <v>3884780.92</v>
      </c>
      <c r="M27" s="1" t="s">
        <v>38</v>
      </c>
    </row>
    <row r="28" spans="1:13" ht="15" customHeight="1" x14ac:dyDescent="0.15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166406</v>
      </c>
      <c r="H28" s="2">
        <v>1325160</v>
      </c>
      <c r="I28" s="2">
        <v>0</v>
      </c>
      <c r="J28" s="2">
        <v>4335315</v>
      </c>
      <c r="K28" s="2">
        <v>989792.71</v>
      </c>
      <c r="L28" s="2">
        <v>3833541.71</v>
      </c>
      <c r="M28" s="1" t="s">
        <v>39</v>
      </c>
    </row>
    <row r="29" spans="1:13" ht="15" customHeight="1" x14ac:dyDescent="0.15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838165.72</v>
      </c>
      <c r="H29" s="2">
        <v>1538795</v>
      </c>
      <c r="I29" s="2">
        <v>0</v>
      </c>
      <c r="J29" s="2">
        <v>3304970</v>
      </c>
      <c r="K29" s="2">
        <v>2765295.71</v>
      </c>
      <c r="L29" s="2">
        <v>3693304.99</v>
      </c>
      <c r="M29" s="1" t="s">
        <v>40</v>
      </c>
    </row>
    <row r="30" spans="1:13" ht="15" customHeight="1" x14ac:dyDescent="0.15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324545.5</v>
      </c>
      <c r="H30" s="2">
        <v>0</v>
      </c>
      <c r="I30" s="2">
        <v>0</v>
      </c>
      <c r="J30" s="2">
        <v>4192697</v>
      </c>
      <c r="K30" s="2">
        <v>-192105.55000000002</v>
      </c>
      <c r="L30" s="2">
        <v>3676045.95</v>
      </c>
      <c r="M30" s="1" t="s">
        <v>41</v>
      </c>
    </row>
    <row r="31" spans="1:13" ht="15" customHeight="1" x14ac:dyDescent="0.15">
      <c r="A31" s="2">
        <v>0</v>
      </c>
      <c r="B31" s="2">
        <v>0</v>
      </c>
      <c r="C31" s="2">
        <v>243420</v>
      </c>
      <c r="D31" s="2">
        <v>0</v>
      </c>
      <c r="E31" s="2">
        <v>0</v>
      </c>
      <c r="F31" s="2">
        <v>0</v>
      </c>
      <c r="G31" s="2">
        <v>0</v>
      </c>
      <c r="H31" s="2">
        <v>1220000</v>
      </c>
      <c r="I31" s="2">
        <v>0</v>
      </c>
      <c r="J31" s="2">
        <v>1826200</v>
      </c>
      <c r="K31" s="2">
        <v>3281758</v>
      </c>
      <c r="L31" s="2">
        <v>3644538</v>
      </c>
      <c r="M31" s="1" t="s">
        <v>42</v>
      </c>
    </row>
    <row r="32" spans="1:13" ht="15" customHeight="1" x14ac:dyDescent="0.15">
      <c r="A32" s="2">
        <v>206745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630526</v>
      </c>
      <c r="H32" s="2">
        <v>2386040</v>
      </c>
      <c r="I32" s="2">
        <v>0</v>
      </c>
      <c r="J32" s="2">
        <v>4292200</v>
      </c>
      <c r="K32" s="2">
        <v>2280977.42</v>
      </c>
      <c r="L32" s="2">
        <v>3556611.42</v>
      </c>
      <c r="M32" s="1" t="s">
        <v>43</v>
      </c>
    </row>
    <row r="33" spans="1:13" ht="15" customHeight="1" x14ac:dyDescent="0.15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5569388</v>
      </c>
      <c r="I33" s="2">
        <v>0</v>
      </c>
      <c r="J33" s="2">
        <v>3487150</v>
      </c>
      <c r="K33" s="2">
        <v>5621018.4199999999</v>
      </c>
      <c r="L33" s="2">
        <v>3538780.42</v>
      </c>
      <c r="M33" s="1" t="s">
        <v>44</v>
      </c>
    </row>
    <row r="34" spans="1:13" ht="15" customHeight="1" x14ac:dyDescent="0.15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101564.78</v>
      </c>
      <c r="H34" s="2">
        <v>3247061</v>
      </c>
      <c r="I34" s="2">
        <v>0</v>
      </c>
      <c r="J34" s="2">
        <v>4884340</v>
      </c>
      <c r="K34" s="2">
        <v>1951409.69</v>
      </c>
      <c r="L34" s="2">
        <v>3487123.91</v>
      </c>
      <c r="M34" s="1" t="s">
        <v>45</v>
      </c>
    </row>
    <row r="35" spans="1:13" ht="15" customHeight="1" x14ac:dyDescent="0.15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25200</v>
      </c>
      <c r="H35" s="2">
        <v>275000</v>
      </c>
      <c r="I35" s="2">
        <v>0</v>
      </c>
      <c r="J35" s="2">
        <v>2287440</v>
      </c>
      <c r="K35" s="2">
        <v>1495415.44</v>
      </c>
      <c r="L35" s="2">
        <v>3482655.44</v>
      </c>
      <c r="M35" s="1" t="s">
        <v>46</v>
      </c>
    </row>
    <row r="36" spans="1:13" ht="15" customHeight="1" x14ac:dyDescent="0.15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113509.62</v>
      </c>
      <c r="H36" s="2">
        <v>0</v>
      </c>
      <c r="I36" s="2">
        <v>0</v>
      </c>
      <c r="J36" s="2">
        <v>3359625</v>
      </c>
      <c r="K36" s="2">
        <v>118540.67</v>
      </c>
      <c r="L36" s="2">
        <v>3364656.0500000003</v>
      </c>
      <c r="M36" s="1" t="s">
        <v>47</v>
      </c>
    </row>
    <row r="37" spans="1:13" ht="15" customHeight="1" x14ac:dyDescent="0.15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21250</v>
      </c>
      <c r="H37" s="2">
        <v>400000</v>
      </c>
      <c r="I37" s="2">
        <v>0</v>
      </c>
      <c r="J37" s="2">
        <v>3671610</v>
      </c>
      <c r="K37" s="2">
        <v>99707.12</v>
      </c>
      <c r="L37" s="2">
        <v>3350067.12</v>
      </c>
      <c r="M37" s="1" t="s">
        <v>48</v>
      </c>
    </row>
    <row r="38" spans="1:13" ht="15" customHeight="1" x14ac:dyDescent="0.15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100000</v>
      </c>
      <c r="I38" s="2">
        <v>0</v>
      </c>
      <c r="J38" s="2">
        <v>343400</v>
      </c>
      <c r="K38" s="2">
        <v>3069375.95</v>
      </c>
      <c r="L38" s="2">
        <v>3312775.95</v>
      </c>
      <c r="M38" s="1" t="s">
        <v>49</v>
      </c>
    </row>
    <row r="39" spans="1:13" ht="15" customHeight="1" x14ac:dyDescent="0.15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3239638.66</v>
      </c>
      <c r="L39" s="2">
        <v>3239638.66</v>
      </c>
      <c r="M39" s="1" t="s">
        <v>50</v>
      </c>
    </row>
    <row r="40" spans="1:13" ht="15" customHeight="1" x14ac:dyDescent="0.15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513207.89</v>
      </c>
      <c r="H40" s="2">
        <v>1500000</v>
      </c>
      <c r="I40" s="2">
        <v>0</v>
      </c>
      <c r="J40" s="2">
        <v>775990</v>
      </c>
      <c r="K40" s="2">
        <v>4433131.53</v>
      </c>
      <c r="L40" s="2">
        <v>3195913.64</v>
      </c>
      <c r="M40" s="1" t="s">
        <v>51</v>
      </c>
    </row>
    <row r="41" spans="1:13" ht="15" customHeight="1" x14ac:dyDescent="0.15">
      <c r="A41" s="2">
        <v>168630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321119.59999999998</v>
      </c>
      <c r="H41" s="2">
        <v>3400000</v>
      </c>
      <c r="I41" s="2">
        <v>0</v>
      </c>
      <c r="J41" s="2">
        <v>4865140</v>
      </c>
      <c r="K41" s="2">
        <v>1847434.32</v>
      </c>
      <c r="L41" s="2">
        <v>2991454.72</v>
      </c>
      <c r="M41" s="1" t="s">
        <v>52</v>
      </c>
    </row>
    <row r="42" spans="1:13" ht="15" customHeight="1" x14ac:dyDescent="0.15">
      <c r="A42" s="2">
        <v>187110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2358380</v>
      </c>
      <c r="K42" s="2">
        <v>581848.11</v>
      </c>
      <c r="L42" s="2">
        <v>2940228.11</v>
      </c>
      <c r="M42" s="1" t="s">
        <v>53</v>
      </c>
    </row>
    <row r="43" spans="1:13" ht="15" customHeight="1" x14ac:dyDescent="0.15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900000</v>
      </c>
      <c r="I43" s="2">
        <v>0</v>
      </c>
      <c r="J43" s="2">
        <v>136500</v>
      </c>
      <c r="K43" s="2">
        <v>3672301.13</v>
      </c>
      <c r="L43" s="2">
        <v>2908801.13</v>
      </c>
      <c r="M43" s="1" t="s">
        <v>54</v>
      </c>
    </row>
    <row r="44" spans="1:13" ht="15" customHeight="1" x14ac:dyDescent="0.15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100211.37</v>
      </c>
      <c r="H44" s="2">
        <v>745000</v>
      </c>
      <c r="I44" s="2">
        <v>0</v>
      </c>
      <c r="J44" s="2">
        <v>3026940</v>
      </c>
      <c r="K44" s="2">
        <v>708670.74</v>
      </c>
      <c r="L44" s="2">
        <v>2890399.37</v>
      </c>
      <c r="M44" s="1" t="s">
        <v>55</v>
      </c>
    </row>
    <row r="45" spans="1:13" ht="15" customHeight="1" x14ac:dyDescent="0.15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389000</v>
      </c>
      <c r="H45" s="2">
        <v>200000</v>
      </c>
      <c r="I45" s="2">
        <v>0</v>
      </c>
      <c r="J45" s="2">
        <v>3460740</v>
      </c>
      <c r="K45" s="2">
        <v>0</v>
      </c>
      <c r="L45" s="2">
        <v>2871740</v>
      </c>
      <c r="M45" s="1" t="s">
        <v>56</v>
      </c>
    </row>
    <row r="46" spans="1:13" ht="15" customHeight="1" x14ac:dyDescent="0.15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301932</v>
      </c>
      <c r="H46" s="2">
        <v>2167227</v>
      </c>
      <c r="I46" s="2">
        <v>0</v>
      </c>
      <c r="J46" s="2">
        <v>3742670</v>
      </c>
      <c r="K46" s="2">
        <v>1563553.3800000001</v>
      </c>
      <c r="L46" s="2">
        <v>2837064.38</v>
      </c>
      <c r="M46" s="1" t="s">
        <v>57</v>
      </c>
    </row>
    <row r="47" spans="1:13" ht="15" customHeight="1" x14ac:dyDescent="0.15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146918.6</v>
      </c>
      <c r="H47" s="2">
        <v>1425375</v>
      </c>
      <c r="I47" s="2">
        <v>0</v>
      </c>
      <c r="J47" s="2">
        <v>3854504</v>
      </c>
      <c r="K47" s="2">
        <v>545375.29</v>
      </c>
      <c r="L47" s="2">
        <v>2827585.69</v>
      </c>
      <c r="M47" s="1" t="s">
        <v>58</v>
      </c>
    </row>
    <row r="48" spans="1:13" ht="15" customHeight="1" x14ac:dyDescent="0.15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143606.82</v>
      </c>
      <c r="H48" s="2">
        <v>2594000</v>
      </c>
      <c r="I48" s="2">
        <v>0</v>
      </c>
      <c r="J48" s="2">
        <v>2942945</v>
      </c>
      <c r="K48" s="2">
        <v>2596686.0499999998</v>
      </c>
      <c r="L48" s="2">
        <v>2802024.23</v>
      </c>
      <c r="M48" s="1" t="s">
        <v>59</v>
      </c>
    </row>
    <row r="49" spans="1:13" ht="15" customHeight="1" x14ac:dyDescent="0.15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2780360.98</v>
      </c>
      <c r="L49" s="2">
        <v>2780360.98</v>
      </c>
      <c r="M49" s="1" t="s">
        <v>60</v>
      </c>
    </row>
    <row r="50" spans="1:13" ht="15" customHeight="1" x14ac:dyDescent="0.15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1209165.56</v>
      </c>
      <c r="H50" s="2">
        <v>271000</v>
      </c>
      <c r="I50" s="2">
        <v>0</v>
      </c>
      <c r="J50" s="2">
        <v>0</v>
      </c>
      <c r="K50" s="2">
        <v>4241865.43</v>
      </c>
      <c r="L50" s="2">
        <v>2761699.87</v>
      </c>
      <c r="M50" s="1" t="s">
        <v>61</v>
      </c>
    </row>
    <row r="51" spans="1:13" ht="15" customHeight="1" x14ac:dyDescent="0.15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2671800.58</v>
      </c>
      <c r="L51" s="2">
        <v>2671800.58</v>
      </c>
      <c r="M51" s="1" t="s">
        <v>62</v>
      </c>
    </row>
    <row r="52" spans="1:13" ht="15" customHeight="1" x14ac:dyDescent="0.15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1000000</v>
      </c>
      <c r="I52" s="2">
        <v>0</v>
      </c>
      <c r="J52" s="2">
        <v>0</v>
      </c>
      <c r="K52" s="2">
        <v>3627774.14</v>
      </c>
      <c r="L52" s="2">
        <v>2627774.14</v>
      </c>
      <c r="M52" s="1" t="s">
        <v>63</v>
      </c>
    </row>
    <row r="53" spans="1:13" ht="15" customHeight="1" x14ac:dyDescent="0.15">
      <c r="A53" s="2">
        <v>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2625883.4500000002</v>
      </c>
      <c r="L53" s="2">
        <v>2625883.4500000002</v>
      </c>
      <c r="M53" s="1" t="s">
        <v>64</v>
      </c>
    </row>
    <row r="54" spans="1:13" ht="15" customHeight="1" x14ac:dyDescent="0.15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625313.24</v>
      </c>
      <c r="H54" s="2">
        <v>400000</v>
      </c>
      <c r="I54" s="2">
        <v>0</v>
      </c>
      <c r="J54" s="2">
        <v>1020625</v>
      </c>
      <c r="K54" s="2">
        <v>2500995.4500000002</v>
      </c>
      <c r="L54" s="2">
        <v>2496307.21</v>
      </c>
      <c r="M54" s="1" t="s">
        <v>65</v>
      </c>
    </row>
    <row r="55" spans="1:13" ht="15" customHeight="1" x14ac:dyDescent="0.15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178818.04</v>
      </c>
      <c r="H55" s="2">
        <v>1700000</v>
      </c>
      <c r="I55" s="2">
        <v>0</v>
      </c>
      <c r="J55" s="2">
        <v>2066700</v>
      </c>
      <c r="K55" s="2">
        <v>2293075</v>
      </c>
      <c r="L55" s="2">
        <v>2480956.96</v>
      </c>
      <c r="M55" s="1" t="s">
        <v>66</v>
      </c>
    </row>
    <row r="56" spans="1:13" ht="15" customHeight="1" x14ac:dyDescent="0.15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285849.99</v>
      </c>
      <c r="H56" s="2">
        <v>1150000</v>
      </c>
      <c r="I56" s="2">
        <v>0</v>
      </c>
      <c r="J56" s="2">
        <v>1371090</v>
      </c>
      <c r="K56" s="2">
        <v>2468702.5099999998</v>
      </c>
      <c r="L56" s="2">
        <v>2403942.52</v>
      </c>
      <c r="M56" s="1" t="s">
        <v>67</v>
      </c>
    </row>
    <row r="57" spans="1:13" ht="15" customHeight="1" x14ac:dyDescent="0.15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55000</v>
      </c>
      <c r="H57" s="2">
        <v>2771000</v>
      </c>
      <c r="I57" s="2">
        <v>0</v>
      </c>
      <c r="J57" s="2">
        <v>1718750</v>
      </c>
      <c r="K57" s="2">
        <v>3481800</v>
      </c>
      <c r="L57" s="2">
        <v>2374550</v>
      </c>
      <c r="M57" s="1" t="s">
        <v>68</v>
      </c>
    </row>
    <row r="58" spans="1:13" ht="15" customHeight="1" x14ac:dyDescent="0.15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172420</v>
      </c>
      <c r="H58" s="2">
        <v>0</v>
      </c>
      <c r="I58" s="2">
        <v>0</v>
      </c>
      <c r="J58" s="2">
        <v>172420</v>
      </c>
      <c r="K58" s="2">
        <v>2362310</v>
      </c>
      <c r="L58" s="2">
        <v>2362310</v>
      </c>
      <c r="M58" s="1" t="s">
        <v>69</v>
      </c>
    </row>
    <row r="59" spans="1:13" ht="15" customHeight="1" x14ac:dyDescent="0.15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17600.03</v>
      </c>
      <c r="H59" s="2">
        <v>430000</v>
      </c>
      <c r="I59" s="2">
        <v>0</v>
      </c>
      <c r="J59" s="2">
        <v>1046640</v>
      </c>
      <c r="K59" s="2">
        <v>1708087.32</v>
      </c>
      <c r="L59" s="2">
        <v>2307127.29</v>
      </c>
      <c r="M59" s="1" t="s">
        <v>70</v>
      </c>
    </row>
    <row r="60" spans="1:13" ht="15" customHeight="1" x14ac:dyDescent="0.15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312417.40000000002</v>
      </c>
      <c r="H60" s="2">
        <v>880000</v>
      </c>
      <c r="I60" s="2">
        <v>0</v>
      </c>
      <c r="J60" s="2">
        <v>0</v>
      </c>
      <c r="K60" s="2">
        <v>3448760.14</v>
      </c>
      <c r="L60" s="2">
        <v>2256342.7400000002</v>
      </c>
      <c r="M60" s="1" t="s">
        <v>71</v>
      </c>
    </row>
    <row r="61" spans="1:13" ht="15" customHeight="1" x14ac:dyDescent="0.15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109107.5</v>
      </c>
      <c r="H61" s="2">
        <v>1222000</v>
      </c>
      <c r="I61" s="2">
        <v>0</v>
      </c>
      <c r="J61" s="2">
        <v>859500</v>
      </c>
      <c r="K61" s="2">
        <v>2721649.15</v>
      </c>
      <c r="L61" s="2">
        <v>2250041.65</v>
      </c>
      <c r="M61" s="1" t="s">
        <v>72</v>
      </c>
    </row>
    <row r="62" spans="1:13" ht="15" customHeight="1" x14ac:dyDescent="0.15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61050</v>
      </c>
      <c r="H62" s="2">
        <v>1082400</v>
      </c>
      <c r="I62" s="2">
        <v>0</v>
      </c>
      <c r="J62" s="2">
        <v>2044300</v>
      </c>
      <c r="K62" s="2">
        <v>1320837.52</v>
      </c>
      <c r="L62" s="2">
        <v>2221687.52</v>
      </c>
      <c r="M62" s="1" t="s">
        <v>73</v>
      </c>
    </row>
    <row r="63" spans="1:13" ht="15" customHeight="1" x14ac:dyDescent="0.15">
      <c r="A63" s="2">
        <v>242550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1849284.74</v>
      </c>
      <c r="H63" s="2">
        <v>494960</v>
      </c>
      <c r="I63" s="2">
        <v>0</v>
      </c>
      <c r="J63" s="2">
        <v>4339243</v>
      </c>
      <c r="K63" s="2">
        <v>201076.30000000002</v>
      </c>
      <c r="L63" s="2">
        <v>2196074.56</v>
      </c>
      <c r="M63" s="1" t="s">
        <v>74</v>
      </c>
    </row>
    <row r="64" spans="1:13" ht="15" customHeight="1" x14ac:dyDescent="0.15">
      <c r="A64" s="2">
        <v>0</v>
      </c>
      <c r="B64" s="2">
        <v>0</v>
      </c>
      <c r="C64" s="2">
        <v>211615</v>
      </c>
      <c r="D64" s="2">
        <v>0</v>
      </c>
      <c r="E64" s="2">
        <v>0</v>
      </c>
      <c r="F64" s="2">
        <v>0</v>
      </c>
      <c r="G64" s="2">
        <v>0</v>
      </c>
      <c r="H64" s="2">
        <v>638970</v>
      </c>
      <c r="I64" s="2">
        <v>0</v>
      </c>
      <c r="J64" s="2">
        <v>1965000</v>
      </c>
      <c r="K64" s="2">
        <v>1062086.02</v>
      </c>
      <c r="L64" s="2">
        <v>2176501.02</v>
      </c>
      <c r="M64" s="1" t="s">
        <v>75</v>
      </c>
    </row>
    <row r="65" spans="1:13" ht="15" customHeight="1" x14ac:dyDescent="0.15">
      <c r="A65" s="2">
        <v>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2155876.0699999998</v>
      </c>
      <c r="L65" s="2">
        <v>2155876.0699999998</v>
      </c>
      <c r="M65" s="1" t="s">
        <v>76</v>
      </c>
    </row>
    <row r="66" spans="1:13" ht="15" customHeight="1" x14ac:dyDescent="0.15">
      <c r="A66" s="2">
        <v>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1147514.5</v>
      </c>
      <c r="H66" s="2">
        <v>1200000</v>
      </c>
      <c r="I66" s="2">
        <v>0</v>
      </c>
      <c r="J66" s="2">
        <v>2094560</v>
      </c>
      <c r="K66" s="2">
        <v>2393860.2599999998</v>
      </c>
      <c r="L66" s="2">
        <v>2140905.7599999998</v>
      </c>
      <c r="M66" s="1" t="s">
        <v>77</v>
      </c>
    </row>
    <row r="67" spans="1:13" ht="15" customHeight="1" x14ac:dyDescent="0.15">
      <c r="A67" s="2">
        <v>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2125960</v>
      </c>
      <c r="K67" s="2">
        <v>0.44</v>
      </c>
      <c r="L67" s="2">
        <v>2125960.44</v>
      </c>
      <c r="M67" s="1" t="s">
        <v>78</v>
      </c>
    </row>
    <row r="68" spans="1:13" ht="15" customHeight="1" x14ac:dyDescent="0.15">
      <c r="A68" s="2">
        <v>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2078312.74</v>
      </c>
      <c r="L68" s="2">
        <v>2078312.74</v>
      </c>
      <c r="M68" s="1" t="s">
        <v>79</v>
      </c>
    </row>
    <row r="69" spans="1:13" ht="15" customHeight="1" x14ac:dyDescent="0.15">
      <c r="A69" s="2">
        <v>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2066000</v>
      </c>
      <c r="K69" s="2">
        <v>0</v>
      </c>
      <c r="L69" s="2">
        <v>2066000</v>
      </c>
      <c r="M69" s="1" t="s">
        <v>80</v>
      </c>
    </row>
    <row r="70" spans="1:13" ht="15" customHeight="1" x14ac:dyDescent="0.15">
      <c r="A70" s="2">
        <v>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70000</v>
      </c>
      <c r="I70" s="2">
        <v>0</v>
      </c>
      <c r="J70" s="2">
        <v>0</v>
      </c>
      <c r="K70" s="2">
        <v>2127840</v>
      </c>
      <c r="L70" s="2">
        <v>2057840</v>
      </c>
      <c r="M70" s="1" t="s">
        <v>81</v>
      </c>
    </row>
    <row r="71" spans="1:13" ht="15" customHeight="1" x14ac:dyDescent="0.15">
      <c r="A71" s="2">
        <v>75075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133740.92000000001</v>
      </c>
      <c r="H71" s="2">
        <v>0</v>
      </c>
      <c r="I71" s="2">
        <v>0</v>
      </c>
      <c r="J71" s="2">
        <v>2162880</v>
      </c>
      <c r="K71" s="2">
        <v>-16749.29</v>
      </c>
      <c r="L71" s="2">
        <v>2012389.79</v>
      </c>
      <c r="M71" s="1" t="s">
        <v>82</v>
      </c>
    </row>
    <row r="72" spans="1:13" ht="15" customHeight="1" x14ac:dyDescent="0.15">
      <c r="A72" s="2">
        <v>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150000</v>
      </c>
      <c r="I72" s="2">
        <v>0</v>
      </c>
      <c r="J72" s="2">
        <v>2210500</v>
      </c>
      <c r="K72" s="2">
        <v>-49251.590000000004</v>
      </c>
      <c r="L72" s="2">
        <v>2011248.4100000001</v>
      </c>
      <c r="M72" s="1" t="s">
        <v>83</v>
      </c>
    </row>
    <row r="73" spans="1:13" ht="15" customHeight="1" x14ac:dyDescent="0.15">
      <c r="A73" s="2">
        <v>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161815</v>
      </c>
      <c r="H73" s="2">
        <v>2203980</v>
      </c>
      <c r="I73" s="2">
        <v>0</v>
      </c>
      <c r="J73" s="2">
        <v>2008870</v>
      </c>
      <c r="K73" s="2">
        <v>2365795</v>
      </c>
      <c r="L73" s="2">
        <v>2008870</v>
      </c>
      <c r="M73" s="1" t="s">
        <v>84</v>
      </c>
    </row>
    <row r="74" spans="1:13" ht="15" customHeight="1" x14ac:dyDescent="0.15">
      <c r="A74" s="2">
        <v>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713673.32000000007</v>
      </c>
      <c r="H74" s="2">
        <v>0</v>
      </c>
      <c r="I74" s="2">
        <v>0</v>
      </c>
      <c r="J74" s="2">
        <v>2681445</v>
      </c>
      <c r="K74" s="2">
        <v>30326.32</v>
      </c>
      <c r="L74" s="2">
        <v>1998098</v>
      </c>
      <c r="M74" s="1" t="s">
        <v>85</v>
      </c>
    </row>
    <row r="75" spans="1:13" ht="15" customHeight="1" x14ac:dyDescent="0.15">
      <c r="A75" s="2">
        <v>98175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314753.55</v>
      </c>
      <c r="H75" s="2">
        <v>1978060</v>
      </c>
      <c r="I75" s="2">
        <v>0</v>
      </c>
      <c r="J75" s="2">
        <v>2290700</v>
      </c>
      <c r="K75" s="2">
        <v>1978692.4100000001</v>
      </c>
      <c r="L75" s="2">
        <v>1976578.86</v>
      </c>
      <c r="M75" s="1" t="s">
        <v>86</v>
      </c>
    </row>
    <row r="76" spans="1:13" ht="15" customHeight="1" x14ac:dyDescent="0.15">
      <c r="A76" s="2">
        <v>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250000</v>
      </c>
      <c r="I76" s="2">
        <v>0</v>
      </c>
      <c r="J76" s="2">
        <v>0</v>
      </c>
      <c r="K76" s="2">
        <v>2140228.27</v>
      </c>
      <c r="L76" s="2">
        <v>1890228.27</v>
      </c>
      <c r="M76" s="1" t="s">
        <v>87</v>
      </c>
    </row>
    <row r="77" spans="1:13" ht="15" customHeight="1" x14ac:dyDescent="0.15">
      <c r="A77" s="2">
        <v>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116257.48</v>
      </c>
      <c r="H77" s="2">
        <v>715600</v>
      </c>
      <c r="I77" s="2">
        <v>0</v>
      </c>
      <c r="J77" s="2">
        <v>1972957</v>
      </c>
      <c r="K77" s="2">
        <v>715580</v>
      </c>
      <c r="L77" s="2">
        <v>1856679.52</v>
      </c>
      <c r="M77" s="1" t="s">
        <v>88</v>
      </c>
    </row>
    <row r="78" spans="1:13" ht="15" customHeight="1" x14ac:dyDescent="0.15">
      <c r="A78" s="2">
        <v>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1855889.86</v>
      </c>
      <c r="L78" s="2">
        <v>1855889.86</v>
      </c>
      <c r="M78" s="1" t="s">
        <v>89</v>
      </c>
    </row>
    <row r="79" spans="1:13" ht="15" customHeight="1" x14ac:dyDescent="0.15">
      <c r="A79" s="2">
        <v>40425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75152</v>
      </c>
      <c r="H79" s="2">
        <v>0</v>
      </c>
      <c r="I79" s="2">
        <v>0</v>
      </c>
      <c r="J79" s="2">
        <v>1822550</v>
      </c>
      <c r="K79" s="2">
        <v>106292.78</v>
      </c>
      <c r="L79" s="2">
        <v>1853690.78</v>
      </c>
      <c r="M79" s="1" t="s">
        <v>90</v>
      </c>
    </row>
    <row r="80" spans="1:13" ht="15" customHeight="1" x14ac:dyDescent="0.15">
      <c r="A80" s="2">
        <v>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25000</v>
      </c>
      <c r="I80" s="2">
        <v>0</v>
      </c>
      <c r="J80" s="2">
        <v>0</v>
      </c>
      <c r="K80" s="2">
        <v>1868474.25</v>
      </c>
      <c r="L80" s="2">
        <v>1843474.25</v>
      </c>
      <c r="M80" s="1" t="s">
        <v>91</v>
      </c>
    </row>
    <row r="81" spans="1:13" ht="15" customHeight="1" x14ac:dyDescent="0.15">
      <c r="A81" s="2">
        <v>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1842330.6500000001</v>
      </c>
      <c r="L81" s="2">
        <v>1842330.6500000001</v>
      </c>
      <c r="M81" s="1" t="s">
        <v>92</v>
      </c>
    </row>
    <row r="82" spans="1:13" ht="15" customHeight="1" x14ac:dyDescent="0.15">
      <c r="A82" s="2">
        <v>64680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77200</v>
      </c>
      <c r="H82" s="2">
        <v>100000</v>
      </c>
      <c r="I82" s="2">
        <v>0</v>
      </c>
      <c r="J82" s="2">
        <v>2018120</v>
      </c>
      <c r="K82" s="2">
        <v>-48358.85</v>
      </c>
      <c r="L82" s="2">
        <v>1792561.1500000001</v>
      </c>
      <c r="M82" s="1" t="s">
        <v>93</v>
      </c>
    </row>
    <row r="83" spans="1:13" ht="15" customHeight="1" x14ac:dyDescent="0.15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73935.78</v>
      </c>
      <c r="H83" s="2">
        <v>550000</v>
      </c>
      <c r="I83" s="2">
        <v>0</v>
      </c>
      <c r="J83" s="2">
        <v>2162260</v>
      </c>
      <c r="K83" s="2">
        <v>248575.19</v>
      </c>
      <c r="L83" s="2">
        <v>1786899.4100000001</v>
      </c>
      <c r="M83" s="1" t="s">
        <v>94</v>
      </c>
    </row>
    <row r="84" spans="1:13" ht="15" customHeight="1" x14ac:dyDescent="0.15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410000</v>
      </c>
      <c r="I84" s="2">
        <v>0</v>
      </c>
      <c r="J84" s="2">
        <v>849500</v>
      </c>
      <c r="K84" s="2">
        <v>1308950</v>
      </c>
      <c r="L84" s="2">
        <v>1748450</v>
      </c>
      <c r="M84" s="1" t="s">
        <v>95</v>
      </c>
    </row>
    <row r="85" spans="1:13" ht="15" customHeight="1" x14ac:dyDescent="0.15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300000</v>
      </c>
      <c r="I85" s="2">
        <v>0</v>
      </c>
      <c r="J85" s="2">
        <v>1617800</v>
      </c>
      <c r="K85" s="2">
        <v>374845.02</v>
      </c>
      <c r="L85" s="2">
        <v>1692645.02</v>
      </c>
      <c r="M85" s="1" t="s">
        <v>96</v>
      </c>
    </row>
    <row r="86" spans="1:13" ht="15" customHeight="1" x14ac:dyDescent="0.15">
      <c r="A86" s="2">
        <v>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1688680.1</v>
      </c>
      <c r="L86" s="2">
        <v>1688680.1</v>
      </c>
      <c r="M86" s="1" t="s">
        <v>97</v>
      </c>
    </row>
    <row r="87" spans="1:13" ht="15" customHeight="1" x14ac:dyDescent="0.15">
      <c r="A87" s="2">
        <v>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62360</v>
      </c>
      <c r="H87" s="2">
        <v>657800</v>
      </c>
      <c r="I87" s="2">
        <v>0</v>
      </c>
      <c r="J87" s="2">
        <v>1817960</v>
      </c>
      <c r="K87" s="2">
        <v>586849.39</v>
      </c>
      <c r="L87" s="2">
        <v>1684649.3900000001</v>
      </c>
      <c r="M87" s="1" t="s">
        <v>98</v>
      </c>
    </row>
    <row r="88" spans="1:13" ht="15" customHeight="1" x14ac:dyDescent="0.15">
      <c r="A88" s="2">
        <v>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600000</v>
      </c>
      <c r="I88" s="2">
        <v>0</v>
      </c>
      <c r="J88" s="2">
        <v>0</v>
      </c>
      <c r="K88" s="2">
        <v>2251520.0099999998</v>
      </c>
      <c r="L88" s="2">
        <v>1651520.01</v>
      </c>
      <c r="M88" s="1" t="s">
        <v>99</v>
      </c>
    </row>
    <row r="89" spans="1:13" ht="15" customHeight="1" x14ac:dyDescent="0.15">
      <c r="A89" s="2">
        <v>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64231.090000000004</v>
      </c>
      <c r="H89" s="2">
        <v>100000</v>
      </c>
      <c r="I89" s="2">
        <v>0</v>
      </c>
      <c r="J89" s="2">
        <v>209680</v>
      </c>
      <c r="K89" s="2">
        <v>1581165.6500000001</v>
      </c>
      <c r="L89" s="2">
        <v>1626614.56</v>
      </c>
      <c r="M89" s="1" t="s">
        <v>100</v>
      </c>
    </row>
    <row r="90" spans="1:13" ht="15" customHeight="1" x14ac:dyDescent="0.15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31865.48</v>
      </c>
      <c r="H90" s="2">
        <v>300000</v>
      </c>
      <c r="I90" s="2">
        <v>0</v>
      </c>
      <c r="J90" s="2">
        <v>1900845</v>
      </c>
      <c r="K90" s="2">
        <v>5180.82</v>
      </c>
      <c r="L90" s="2">
        <v>1574160.34</v>
      </c>
      <c r="M90" s="1" t="s">
        <v>101</v>
      </c>
    </row>
    <row r="91" spans="1:13" ht="15" customHeight="1" x14ac:dyDescent="0.15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60950</v>
      </c>
      <c r="H91" s="2">
        <v>390000</v>
      </c>
      <c r="I91" s="2">
        <v>0</v>
      </c>
      <c r="J91" s="2">
        <v>2020740</v>
      </c>
      <c r="K91" s="2">
        <v>0</v>
      </c>
      <c r="L91" s="2">
        <v>1569790</v>
      </c>
      <c r="M91" s="1" t="s">
        <v>102</v>
      </c>
    </row>
    <row r="92" spans="1:13" ht="15" customHeight="1" x14ac:dyDescent="0.15">
      <c r="A92" s="2">
        <v>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26127.66</v>
      </c>
      <c r="H92" s="2">
        <v>983500</v>
      </c>
      <c r="I92" s="2">
        <v>0</v>
      </c>
      <c r="J92" s="2">
        <v>1747965</v>
      </c>
      <c r="K92" s="2">
        <v>829967.31</v>
      </c>
      <c r="L92" s="2">
        <v>1568304.6500000001</v>
      </c>
      <c r="M92" s="1" t="s">
        <v>103</v>
      </c>
    </row>
    <row r="93" spans="1:13" ht="15" customHeight="1" x14ac:dyDescent="0.15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275000</v>
      </c>
      <c r="I93" s="2">
        <v>0</v>
      </c>
      <c r="J93" s="2">
        <v>1808154</v>
      </c>
      <c r="K93" s="2">
        <v>8650</v>
      </c>
      <c r="L93" s="2">
        <v>1541804</v>
      </c>
      <c r="M93" s="1" t="s">
        <v>104</v>
      </c>
    </row>
    <row r="94" spans="1:13" ht="15" customHeight="1" x14ac:dyDescent="0.15">
      <c r="A94" s="2">
        <v>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97514.8</v>
      </c>
      <c r="H94" s="2">
        <v>200000</v>
      </c>
      <c r="I94" s="2">
        <v>0</v>
      </c>
      <c r="J94" s="2">
        <v>1618500</v>
      </c>
      <c r="K94" s="2">
        <v>209094.39</v>
      </c>
      <c r="L94" s="2">
        <v>1530079.59</v>
      </c>
      <c r="M94" s="1" t="s">
        <v>105</v>
      </c>
    </row>
    <row r="95" spans="1:13" ht="15" customHeight="1" x14ac:dyDescent="0.15">
      <c r="A95" s="2">
        <v>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118570.87</v>
      </c>
      <c r="H95" s="2">
        <v>19900</v>
      </c>
      <c r="I95" s="2">
        <v>0</v>
      </c>
      <c r="J95" s="2">
        <v>0</v>
      </c>
      <c r="K95" s="2">
        <v>1640205.98</v>
      </c>
      <c r="L95" s="2">
        <v>1501735.11</v>
      </c>
      <c r="M95" s="1" t="s">
        <v>106</v>
      </c>
    </row>
    <row r="96" spans="1:13" ht="15" customHeight="1" x14ac:dyDescent="0.15">
      <c r="A96" s="2">
        <v>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1496210.46</v>
      </c>
      <c r="L96" s="2">
        <v>1496210.46</v>
      </c>
      <c r="M96" s="1" t="s">
        <v>107</v>
      </c>
    </row>
    <row r="97" spans="1:13" ht="15" customHeight="1" x14ac:dyDescent="0.15">
      <c r="A97" s="2">
        <v>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568360</v>
      </c>
      <c r="K97" s="2">
        <v>908936.46</v>
      </c>
      <c r="L97" s="2">
        <v>1477296.46</v>
      </c>
      <c r="M97" s="1" t="s">
        <v>108</v>
      </c>
    </row>
    <row r="98" spans="1:13" ht="15" customHeight="1" x14ac:dyDescent="0.15">
      <c r="A98" s="2">
        <v>235620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193963.13</v>
      </c>
      <c r="H98" s="2">
        <v>0</v>
      </c>
      <c r="I98" s="2">
        <v>0</v>
      </c>
      <c r="J98" s="2">
        <v>1683860</v>
      </c>
      <c r="K98" s="2">
        <v>-25134.49</v>
      </c>
      <c r="L98" s="2">
        <v>1464762.3800000001</v>
      </c>
      <c r="M98" s="1" t="s">
        <v>109</v>
      </c>
    </row>
    <row r="99" spans="1:13" ht="15" customHeight="1" x14ac:dyDescent="0.15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100000</v>
      </c>
      <c r="I99" s="2">
        <v>0</v>
      </c>
      <c r="J99" s="2">
        <v>0</v>
      </c>
      <c r="K99" s="2">
        <v>1549220</v>
      </c>
      <c r="L99" s="2">
        <v>1449220</v>
      </c>
      <c r="M99" s="1" t="s">
        <v>110</v>
      </c>
    </row>
    <row r="100" spans="1:13" ht="15" customHeight="1" x14ac:dyDescent="0.15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105000</v>
      </c>
      <c r="H100" s="2">
        <v>325000</v>
      </c>
      <c r="I100" s="2">
        <v>0</v>
      </c>
      <c r="J100" s="2">
        <v>105000</v>
      </c>
      <c r="K100" s="2">
        <v>1739758.8800000001</v>
      </c>
      <c r="L100" s="2">
        <v>1414758.8800000001</v>
      </c>
      <c r="M100" s="1" t="s">
        <v>111</v>
      </c>
    </row>
    <row r="101" spans="1:13" ht="15" customHeight="1" x14ac:dyDescent="0.15">
      <c r="A101" s="2">
        <v>0</v>
      </c>
      <c r="B101" s="2">
        <v>0</v>
      </c>
      <c r="C101" s="2">
        <v>0</v>
      </c>
      <c r="D101" s="2">
        <v>0</v>
      </c>
      <c r="E101" s="2">
        <v>919331</v>
      </c>
      <c r="F101" s="2">
        <v>0</v>
      </c>
      <c r="G101" s="2">
        <v>299397.73</v>
      </c>
      <c r="H101" s="2">
        <v>1729201</v>
      </c>
      <c r="I101" s="2">
        <v>0</v>
      </c>
      <c r="J101" s="2">
        <v>770090</v>
      </c>
      <c r="K101" s="2">
        <v>1729201.6400000001</v>
      </c>
      <c r="L101" s="2">
        <v>1390023.91</v>
      </c>
      <c r="M101" s="1" t="s">
        <v>112</v>
      </c>
    </row>
    <row r="102" spans="1:13" ht="15" customHeight="1" x14ac:dyDescent="0.15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40000</v>
      </c>
      <c r="I102" s="2">
        <v>0</v>
      </c>
      <c r="J102" s="2">
        <v>0</v>
      </c>
      <c r="K102" s="2">
        <v>1393540</v>
      </c>
      <c r="L102" s="2">
        <v>1353540</v>
      </c>
      <c r="M102" s="1" t="s">
        <v>113</v>
      </c>
    </row>
    <row r="103" spans="1:13" ht="15" customHeight="1" x14ac:dyDescent="0.15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537898.47</v>
      </c>
      <c r="H103" s="2">
        <v>2272000</v>
      </c>
      <c r="I103" s="2">
        <v>0</v>
      </c>
      <c r="J103" s="2">
        <v>3183020</v>
      </c>
      <c r="K103" s="2">
        <v>958264.07000000007</v>
      </c>
      <c r="L103" s="2">
        <v>1331385.6000000001</v>
      </c>
      <c r="M103" s="1" t="s">
        <v>114</v>
      </c>
    </row>
    <row r="104" spans="1:13" ht="15" customHeight="1" x14ac:dyDescent="0.15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900000</v>
      </c>
      <c r="I104" s="2">
        <v>0</v>
      </c>
      <c r="J104" s="2">
        <v>501345</v>
      </c>
      <c r="K104" s="2">
        <v>1700690</v>
      </c>
      <c r="L104" s="2">
        <v>1302035</v>
      </c>
      <c r="M104" s="1" t="s">
        <v>115</v>
      </c>
    </row>
    <row r="105" spans="1:13" ht="15" customHeight="1" x14ac:dyDescent="0.15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1857937</v>
      </c>
      <c r="I105" s="2">
        <v>0</v>
      </c>
      <c r="J105" s="2">
        <v>1590804</v>
      </c>
      <c r="K105" s="2">
        <v>1552439.11</v>
      </c>
      <c r="L105" s="2">
        <v>1285306.1100000001</v>
      </c>
      <c r="M105" s="1" t="s">
        <v>116</v>
      </c>
    </row>
    <row r="106" spans="1:13" ht="15" customHeight="1" x14ac:dyDescent="0.15">
      <c r="A106" s="2">
        <v>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355000</v>
      </c>
      <c r="I106" s="2">
        <v>0</v>
      </c>
      <c r="J106" s="2">
        <v>1367010</v>
      </c>
      <c r="K106" s="2">
        <v>263468.37</v>
      </c>
      <c r="L106" s="2">
        <v>1275478.3700000001</v>
      </c>
      <c r="M106" s="1" t="s">
        <v>117</v>
      </c>
    </row>
    <row r="107" spans="1:13" ht="15" customHeight="1" x14ac:dyDescent="0.15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165847.74</v>
      </c>
      <c r="H107" s="2">
        <v>750000</v>
      </c>
      <c r="I107" s="2">
        <v>0</v>
      </c>
      <c r="J107" s="2">
        <v>2190030</v>
      </c>
      <c r="K107" s="2">
        <v>-155.4</v>
      </c>
      <c r="L107" s="2">
        <v>1274026.8600000001</v>
      </c>
      <c r="M107" s="1" t="s">
        <v>118</v>
      </c>
    </row>
    <row r="108" spans="1:13" ht="15" customHeight="1" x14ac:dyDescent="0.15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1227653.3</v>
      </c>
      <c r="L108" s="2">
        <v>1227653.3</v>
      </c>
      <c r="M108" s="1" t="s">
        <v>119</v>
      </c>
    </row>
    <row r="109" spans="1:13" ht="15" customHeight="1" x14ac:dyDescent="0.15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25000</v>
      </c>
      <c r="I109" s="2">
        <v>0</v>
      </c>
      <c r="J109" s="2">
        <v>0</v>
      </c>
      <c r="K109" s="2">
        <v>1234801.7</v>
      </c>
      <c r="L109" s="2">
        <v>1209801.7</v>
      </c>
      <c r="M109" s="1" t="s">
        <v>120</v>
      </c>
    </row>
    <row r="110" spans="1:13" ht="15" customHeight="1" x14ac:dyDescent="0.15">
      <c r="A110" s="2">
        <v>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1203640</v>
      </c>
      <c r="L110" s="2">
        <v>1203640</v>
      </c>
      <c r="M110" s="1" t="s">
        <v>121</v>
      </c>
    </row>
    <row r="111" spans="1:13" ht="15" customHeight="1" x14ac:dyDescent="0.1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276276.92</v>
      </c>
      <c r="H111" s="2">
        <v>150000</v>
      </c>
      <c r="I111" s="2">
        <v>0</v>
      </c>
      <c r="J111" s="2">
        <v>166600</v>
      </c>
      <c r="K111" s="2">
        <v>1463075.3</v>
      </c>
      <c r="L111" s="2">
        <v>1203398.3799999999</v>
      </c>
      <c r="M111" s="1" t="s">
        <v>122</v>
      </c>
    </row>
    <row r="112" spans="1:13" ht="15" customHeight="1" x14ac:dyDescent="0.15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216836.97</v>
      </c>
      <c r="H112" s="2">
        <v>255000</v>
      </c>
      <c r="I112" s="2">
        <v>0</v>
      </c>
      <c r="J112" s="2">
        <v>1340351</v>
      </c>
      <c r="K112" s="2">
        <v>321865.56</v>
      </c>
      <c r="L112" s="2">
        <v>1190379.5900000001</v>
      </c>
      <c r="M112" s="1" t="s">
        <v>123</v>
      </c>
    </row>
    <row r="113" spans="1:13" ht="15" customHeight="1" x14ac:dyDescent="0.15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324896.64000000001</v>
      </c>
      <c r="H113" s="2">
        <v>500000</v>
      </c>
      <c r="I113" s="2">
        <v>0</v>
      </c>
      <c r="J113" s="2">
        <v>1237662</v>
      </c>
      <c r="K113" s="2">
        <v>756341.31</v>
      </c>
      <c r="L113" s="2">
        <v>1169106.67</v>
      </c>
      <c r="M113" s="1" t="s">
        <v>124</v>
      </c>
    </row>
    <row r="114" spans="1:13" ht="15" customHeight="1" x14ac:dyDescent="0.15">
      <c r="A114" s="2">
        <v>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401594.48</v>
      </c>
      <c r="H114" s="2">
        <v>4803480</v>
      </c>
      <c r="I114" s="2">
        <v>0</v>
      </c>
      <c r="J114" s="2">
        <v>1687734</v>
      </c>
      <c r="K114" s="2">
        <v>4676641.3</v>
      </c>
      <c r="L114" s="2">
        <v>1159300.82</v>
      </c>
      <c r="M114" s="1" t="s">
        <v>125</v>
      </c>
    </row>
    <row r="115" spans="1:13" ht="15" customHeight="1" x14ac:dyDescent="0.15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102895.05</v>
      </c>
      <c r="H115" s="2">
        <v>100000</v>
      </c>
      <c r="I115" s="2">
        <v>0</v>
      </c>
      <c r="J115" s="2">
        <v>600310</v>
      </c>
      <c r="K115" s="2">
        <v>749927.81</v>
      </c>
      <c r="L115" s="2">
        <v>1147342.76</v>
      </c>
      <c r="M115" s="1" t="s">
        <v>126</v>
      </c>
    </row>
    <row r="116" spans="1:13" ht="15" customHeight="1" x14ac:dyDescent="0.1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1144831.18</v>
      </c>
      <c r="L116" s="2">
        <v>1144831.18</v>
      </c>
      <c r="M116" s="1" t="s">
        <v>127</v>
      </c>
    </row>
    <row r="117" spans="1:13" ht="15" customHeight="1" x14ac:dyDescent="0.15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1122770</v>
      </c>
      <c r="K117" s="2">
        <v>2812.57</v>
      </c>
      <c r="L117" s="2">
        <v>1125582.57</v>
      </c>
      <c r="M117" s="1" t="s">
        <v>128</v>
      </c>
    </row>
    <row r="118" spans="1:13" ht="15" customHeight="1" x14ac:dyDescent="0.15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620000</v>
      </c>
      <c r="H118" s="2">
        <v>100000</v>
      </c>
      <c r="I118" s="2">
        <v>0</v>
      </c>
      <c r="J118" s="2">
        <v>1834100</v>
      </c>
      <c r="K118" s="2">
        <v>0</v>
      </c>
      <c r="L118" s="2">
        <v>1114100</v>
      </c>
      <c r="M118" s="1" t="s">
        <v>129</v>
      </c>
    </row>
    <row r="119" spans="1:13" ht="15" customHeight="1" x14ac:dyDescent="0.15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43980</v>
      </c>
      <c r="H119" s="2">
        <v>500000</v>
      </c>
      <c r="I119" s="2">
        <v>0</v>
      </c>
      <c r="J119" s="2">
        <v>1520480</v>
      </c>
      <c r="K119" s="2">
        <v>127490.87000000001</v>
      </c>
      <c r="L119" s="2">
        <v>1103990.8700000001</v>
      </c>
      <c r="M119" s="1" t="s">
        <v>130</v>
      </c>
    </row>
    <row r="120" spans="1:13" ht="15" customHeight="1" x14ac:dyDescent="0.1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956799.07000000007</v>
      </c>
      <c r="H120" s="2">
        <v>100000</v>
      </c>
      <c r="I120" s="2">
        <v>0</v>
      </c>
      <c r="J120" s="2">
        <v>531800</v>
      </c>
      <c r="K120" s="2">
        <v>1580221.85</v>
      </c>
      <c r="L120" s="2">
        <v>1055222.78</v>
      </c>
      <c r="M120" s="1" t="s">
        <v>131</v>
      </c>
    </row>
    <row r="121" spans="1:13" ht="15" customHeight="1" x14ac:dyDescent="0.15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895000</v>
      </c>
      <c r="I121" s="2">
        <v>0</v>
      </c>
      <c r="J121" s="2">
        <v>139150</v>
      </c>
      <c r="K121" s="2">
        <v>1805393.69</v>
      </c>
      <c r="L121" s="2">
        <v>1049543.69</v>
      </c>
      <c r="M121" s="1" t="s">
        <v>132</v>
      </c>
    </row>
    <row r="122" spans="1:13" ht="15" customHeight="1" x14ac:dyDescent="0.15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1035750</v>
      </c>
      <c r="L122" s="2">
        <v>1035750</v>
      </c>
      <c r="M122" s="1" t="s">
        <v>133</v>
      </c>
    </row>
    <row r="123" spans="1:13" ht="15" customHeight="1" x14ac:dyDescent="0.15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50000</v>
      </c>
      <c r="I123" s="2">
        <v>0</v>
      </c>
      <c r="J123" s="2">
        <v>0</v>
      </c>
      <c r="K123" s="2">
        <v>1084706.8799999999</v>
      </c>
      <c r="L123" s="2">
        <v>1034706.88</v>
      </c>
      <c r="M123" s="1" t="s">
        <v>134</v>
      </c>
    </row>
    <row r="124" spans="1:13" ht="15" customHeight="1" x14ac:dyDescent="0.15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657750</v>
      </c>
      <c r="I124" s="2">
        <v>0</v>
      </c>
      <c r="J124" s="2">
        <v>333950</v>
      </c>
      <c r="K124" s="2">
        <v>1349182.1300000001</v>
      </c>
      <c r="L124" s="2">
        <v>1025382.13</v>
      </c>
      <c r="M124" s="1" t="s">
        <v>135</v>
      </c>
    </row>
    <row r="125" spans="1:13" ht="15" customHeight="1" x14ac:dyDescent="0.15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350000</v>
      </c>
      <c r="I125" s="2">
        <v>0</v>
      </c>
      <c r="J125" s="2">
        <v>1031800</v>
      </c>
      <c r="K125" s="2">
        <v>342500</v>
      </c>
      <c r="L125" s="2">
        <v>1024300</v>
      </c>
      <c r="M125" s="1" t="s">
        <v>136</v>
      </c>
    </row>
    <row r="126" spans="1:13" ht="15" customHeight="1" x14ac:dyDescent="0.15">
      <c r="A126" s="2">
        <v>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260000</v>
      </c>
      <c r="I126" s="2">
        <v>0</v>
      </c>
      <c r="J126" s="2">
        <v>1242685</v>
      </c>
      <c r="K126" s="2">
        <v>32475.08</v>
      </c>
      <c r="L126" s="2">
        <v>1015160.0800000001</v>
      </c>
      <c r="M126" s="1" t="s">
        <v>137</v>
      </c>
    </row>
    <row r="127" spans="1:13" ht="15" customHeight="1" x14ac:dyDescent="0.1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406227.21</v>
      </c>
      <c r="H127" s="2">
        <v>2712949</v>
      </c>
      <c r="I127" s="2">
        <v>0</v>
      </c>
      <c r="J127" s="2">
        <v>2990180</v>
      </c>
      <c r="K127" s="2">
        <v>1111140.6399999999</v>
      </c>
      <c r="L127" s="2">
        <v>982144.43</v>
      </c>
      <c r="M127" s="1" t="s">
        <v>138</v>
      </c>
    </row>
    <row r="128" spans="1:13" ht="15" customHeight="1" x14ac:dyDescent="0.15">
      <c r="A128" s="2">
        <v>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70000</v>
      </c>
      <c r="I128" s="2">
        <v>0</v>
      </c>
      <c r="J128" s="2">
        <v>801865</v>
      </c>
      <c r="K128" s="2">
        <v>239478.42</v>
      </c>
      <c r="L128" s="2">
        <v>971343.42</v>
      </c>
      <c r="M128" s="1" t="s">
        <v>139</v>
      </c>
    </row>
    <row r="129" spans="1:13" ht="15" customHeight="1" x14ac:dyDescent="0.15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300000</v>
      </c>
      <c r="I129" s="2">
        <v>0</v>
      </c>
      <c r="J129" s="2">
        <v>1169000</v>
      </c>
      <c r="K129" s="2">
        <v>101090</v>
      </c>
      <c r="L129" s="2">
        <v>970090</v>
      </c>
      <c r="M129" s="1" t="s">
        <v>140</v>
      </c>
    </row>
    <row r="130" spans="1:13" ht="15" customHeight="1" x14ac:dyDescent="0.15">
      <c r="A130" s="2">
        <v>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113409.16</v>
      </c>
      <c r="H130" s="2">
        <v>0</v>
      </c>
      <c r="I130" s="2">
        <v>0</v>
      </c>
      <c r="J130" s="2">
        <v>0</v>
      </c>
      <c r="K130" s="2">
        <v>1079292.97</v>
      </c>
      <c r="L130" s="2">
        <v>965883.81</v>
      </c>
      <c r="M130" s="1" t="s">
        <v>141</v>
      </c>
    </row>
    <row r="131" spans="1:13" ht="15" customHeight="1" x14ac:dyDescent="0.15">
      <c r="A131" s="2">
        <v>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942875</v>
      </c>
      <c r="L131" s="2">
        <v>942875</v>
      </c>
      <c r="M131" s="1" t="s">
        <v>142</v>
      </c>
    </row>
    <row r="132" spans="1:13" ht="15" customHeight="1" x14ac:dyDescent="0.15">
      <c r="A132" s="2">
        <v>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859700</v>
      </c>
      <c r="I132" s="2">
        <v>0</v>
      </c>
      <c r="J132" s="2">
        <v>1751354</v>
      </c>
      <c r="K132" s="2">
        <v>42275.12</v>
      </c>
      <c r="L132" s="2">
        <v>933929.12</v>
      </c>
      <c r="M132" s="1" t="s">
        <v>143</v>
      </c>
    </row>
    <row r="133" spans="1:13" ht="15" customHeight="1" x14ac:dyDescent="0.15">
      <c r="A133" s="2">
        <v>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913810</v>
      </c>
      <c r="K133" s="2">
        <v>-240</v>
      </c>
      <c r="L133" s="2">
        <v>913570</v>
      </c>
      <c r="M133" s="1" t="s">
        <v>144</v>
      </c>
    </row>
    <row r="134" spans="1:13" ht="15" customHeight="1" x14ac:dyDescent="0.15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909706.32000000007</v>
      </c>
      <c r="L134" s="2">
        <v>909706.32000000007</v>
      </c>
      <c r="M134" s="1" t="s">
        <v>145</v>
      </c>
    </row>
    <row r="135" spans="1:13" ht="15" customHeight="1" x14ac:dyDescent="0.15">
      <c r="A135" s="2">
        <v>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335367.09000000003</v>
      </c>
      <c r="H135" s="2">
        <v>950000</v>
      </c>
      <c r="I135" s="2">
        <v>0</v>
      </c>
      <c r="J135" s="2">
        <v>1508545</v>
      </c>
      <c r="K135" s="2">
        <v>682610</v>
      </c>
      <c r="L135" s="2">
        <v>905787.91</v>
      </c>
      <c r="M135" s="1" t="s">
        <v>146</v>
      </c>
    </row>
    <row r="136" spans="1:13" ht="15" customHeight="1" x14ac:dyDescent="0.15">
      <c r="A136" s="2">
        <v>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20238.099999999999</v>
      </c>
      <c r="H136" s="2">
        <v>829300</v>
      </c>
      <c r="I136" s="2">
        <v>0</v>
      </c>
      <c r="J136" s="2">
        <v>940080</v>
      </c>
      <c r="K136" s="2">
        <v>809275.8</v>
      </c>
      <c r="L136" s="2">
        <v>899817.70000000007</v>
      </c>
      <c r="M136" s="1" t="s">
        <v>147</v>
      </c>
    </row>
    <row r="137" spans="1:13" ht="15" customHeight="1" x14ac:dyDescent="0.15">
      <c r="A137" s="2">
        <v>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800000</v>
      </c>
      <c r="I137" s="2">
        <v>0</v>
      </c>
      <c r="J137" s="2">
        <v>1268860</v>
      </c>
      <c r="K137" s="2">
        <v>385594.45</v>
      </c>
      <c r="L137" s="2">
        <v>854454.45000000007</v>
      </c>
      <c r="M137" s="1" t="s">
        <v>148</v>
      </c>
    </row>
    <row r="138" spans="1:13" ht="15" customHeight="1" x14ac:dyDescent="0.15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853612.20000000007</v>
      </c>
      <c r="L138" s="2">
        <v>853612.20000000007</v>
      </c>
      <c r="M138" s="1" t="s">
        <v>149</v>
      </c>
    </row>
    <row r="139" spans="1:13" ht="15" customHeight="1" x14ac:dyDescent="0.15">
      <c r="A139" s="2">
        <v>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845252.77</v>
      </c>
      <c r="L139" s="2">
        <v>845252.77</v>
      </c>
      <c r="M139" s="1" t="s">
        <v>150</v>
      </c>
    </row>
    <row r="140" spans="1:13" ht="15" customHeight="1" x14ac:dyDescent="0.15">
      <c r="A140" s="2">
        <v>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835030.45000000007</v>
      </c>
      <c r="L140" s="2">
        <v>835030.45000000007</v>
      </c>
      <c r="M140" s="1" t="s">
        <v>151</v>
      </c>
    </row>
    <row r="141" spans="1:13" ht="15" customHeight="1" x14ac:dyDescent="0.15">
      <c r="A141" s="2">
        <v>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47000</v>
      </c>
      <c r="I141" s="2">
        <v>0</v>
      </c>
      <c r="J141" s="2">
        <v>46920</v>
      </c>
      <c r="K141" s="2">
        <v>830093.58000000007</v>
      </c>
      <c r="L141" s="2">
        <v>830013.58000000007</v>
      </c>
      <c r="M141" s="1" t="s">
        <v>152</v>
      </c>
    </row>
    <row r="142" spans="1:13" ht="15" customHeight="1" x14ac:dyDescent="0.15">
      <c r="A142" s="2">
        <v>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80000</v>
      </c>
      <c r="I142" s="2">
        <v>0</v>
      </c>
      <c r="J142" s="2">
        <v>0</v>
      </c>
      <c r="K142" s="2">
        <v>905650</v>
      </c>
      <c r="L142" s="2">
        <v>825650</v>
      </c>
      <c r="M142" s="1" t="s">
        <v>153</v>
      </c>
    </row>
    <row r="143" spans="1:13" ht="15" customHeight="1" x14ac:dyDescent="0.15">
      <c r="A143" s="2">
        <v>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138510</v>
      </c>
      <c r="H143" s="2">
        <v>85000</v>
      </c>
      <c r="I143" s="2">
        <v>0</v>
      </c>
      <c r="J143" s="2">
        <v>1046165</v>
      </c>
      <c r="K143" s="2">
        <v>-1092.99</v>
      </c>
      <c r="L143" s="2">
        <v>821562.01</v>
      </c>
      <c r="M143" s="1" t="s">
        <v>154</v>
      </c>
    </row>
    <row r="144" spans="1:13" ht="15" customHeight="1" x14ac:dyDescent="0.15">
      <c r="A144" s="2">
        <v>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50000</v>
      </c>
      <c r="I144" s="2">
        <v>0</v>
      </c>
      <c r="J144" s="2">
        <v>0</v>
      </c>
      <c r="K144" s="2">
        <v>871000</v>
      </c>
      <c r="L144" s="2">
        <v>821000</v>
      </c>
      <c r="M144" s="1" t="s">
        <v>155</v>
      </c>
    </row>
    <row r="145" spans="1:13" ht="15" customHeight="1" x14ac:dyDescent="0.15">
      <c r="A145" s="2">
        <v>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140000</v>
      </c>
      <c r="I145" s="2">
        <v>0</v>
      </c>
      <c r="J145" s="2">
        <v>941580</v>
      </c>
      <c r="K145" s="2">
        <v>-61.370000000000005</v>
      </c>
      <c r="L145" s="2">
        <v>801518.63</v>
      </c>
      <c r="M145" s="1" t="s">
        <v>156</v>
      </c>
    </row>
    <row r="146" spans="1:13" ht="15" customHeight="1" x14ac:dyDescent="0.15">
      <c r="A146" s="2">
        <v>0</v>
      </c>
      <c r="B146" s="2">
        <v>0</v>
      </c>
      <c r="C146" s="2">
        <v>0</v>
      </c>
      <c r="D146" s="2">
        <v>401035</v>
      </c>
      <c r="E146" s="2">
        <v>0</v>
      </c>
      <c r="F146" s="2">
        <v>0</v>
      </c>
      <c r="G146" s="2">
        <v>0</v>
      </c>
      <c r="H146" s="2">
        <v>145237</v>
      </c>
      <c r="I146" s="2">
        <v>0</v>
      </c>
      <c r="J146" s="2">
        <v>846217</v>
      </c>
      <c r="K146" s="2">
        <v>501196.99</v>
      </c>
      <c r="L146" s="2">
        <v>801141.99</v>
      </c>
      <c r="M146" s="1" t="s">
        <v>157</v>
      </c>
    </row>
    <row r="147" spans="1:13" ht="15" customHeight="1" x14ac:dyDescent="0.15">
      <c r="A147" s="2">
        <v>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793113.57000000007</v>
      </c>
      <c r="L147" s="2">
        <v>793113.57000000007</v>
      </c>
      <c r="M147" s="1" t="s">
        <v>158</v>
      </c>
    </row>
    <row r="148" spans="1:13" ht="15" customHeight="1" x14ac:dyDescent="0.15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70262.850000000006</v>
      </c>
      <c r="H148" s="2">
        <v>1120000</v>
      </c>
      <c r="I148" s="2">
        <v>0</v>
      </c>
      <c r="J148" s="2">
        <v>1004430</v>
      </c>
      <c r="K148" s="2">
        <v>963930</v>
      </c>
      <c r="L148" s="2">
        <v>778097.15</v>
      </c>
      <c r="M148" s="1" t="s">
        <v>159</v>
      </c>
    </row>
    <row r="149" spans="1:13" ht="15" customHeight="1" x14ac:dyDescent="0.15">
      <c r="A149" s="2">
        <v>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777677.78</v>
      </c>
      <c r="L149" s="2">
        <v>777677.78</v>
      </c>
      <c r="M149" s="1" t="s">
        <v>160</v>
      </c>
    </row>
    <row r="150" spans="1:13" ht="15" customHeight="1" x14ac:dyDescent="0.15">
      <c r="A150" s="2">
        <v>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218320</v>
      </c>
      <c r="H150" s="2">
        <v>50000</v>
      </c>
      <c r="I150" s="2">
        <v>0</v>
      </c>
      <c r="J150" s="2">
        <v>848644</v>
      </c>
      <c r="K150" s="2">
        <v>180298.08000000002</v>
      </c>
      <c r="L150" s="2">
        <v>760622.07999999996</v>
      </c>
      <c r="M150" s="1" t="s">
        <v>161</v>
      </c>
    </row>
    <row r="151" spans="1:13" ht="15" customHeight="1" x14ac:dyDescent="0.15">
      <c r="A151" s="2">
        <v>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755290.55</v>
      </c>
      <c r="L151" s="2">
        <v>755290.55</v>
      </c>
      <c r="M151" s="1" t="s">
        <v>162</v>
      </c>
    </row>
    <row r="152" spans="1:13" ht="15" customHeight="1" x14ac:dyDescent="0.15">
      <c r="A152" s="2">
        <v>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149299.94</v>
      </c>
      <c r="H152" s="2">
        <v>200000</v>
      </c>
      <c r="I152" s="2">
        <v>0</v>
      </c>
      <c r="J152" s="2">
        <v>785280</v>
      </c>
      <c r="K152" s="2">
        <v>311617.59999999998</v>
      </c>
      <c r="L152" s="2">
        <v>747597.66</v>
      </c>
      <c r="M152" s="1" t="s">
        <v>163</v>
      </c>
    </row>
    <row r="153" spans="1:13" ht="15" customHeight="1" x14ac:dyDescent="0.15">
      <c r="A153" s="2">
        <v>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741170</v>
      </c>
      <c r="K153" s="2">
        <v>-16</v>
      </c>
      <c r="L153" s="2">
        <v>741154</v>
      </c>
      <c r="M153" s="1" t="s">
        <v>164</v>
      </c>
    </row>
    <row r="154" spans="1:13" ht="15" customHeight="1" x14ac:dyDescent="0.15">
      <c r="A154" s="2">
        <v>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85000</v>
      </c>
      <c r="I154" s="2">
        <v>0</v>
      </c>
      <c r="J154" s="2">
        <v>786060</v>
      </c>
      <c r="K154" s="2">
        <v>38396.269999999997</v>
      </c>
      <c r="L154" s="2">
        <v>739456.27</v>
      </c>
      <c r="M154" s="1" t="s">
        <v>165</v>
      </c>
    </row>
    <row r="155" spans="1:13" ht="15" customHeight="1" x14ac:dyDescent="0.15">
      <c r="A155" s="2">
        <v>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460000</v>
      </c>
      <c r="I155" s="2">
        <v>0</v>
      </c>
      <c r="J155" s="2">
        <v>373290</v>
      </c>
      <c r="K155" s="2">
        <v>822250</v>
      </c>
      <c r="L155" s="2">
        <v>735540</v>
      </c>
      <c r="M155" s="1" t="s">
        <v>166</v>
      </c>
    </row>
    <row r="156" spans="1:13" ht="15" customHeight="1" x14ac:dyDescent="0.15">
      <c r="A156" s="2">
        <v>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157800</v>
      </c>
      <c r="I156" s="2">
        <v>0</v>
      </c>
      <c r="J156" s="2">
        <v>837120</v>
      </c>
      <c r="K156" s="2">
        <v>52802.07</v>
      </c>
      <c r="L156" s="2">
        <v>732122.07000000007</v>
      </c>
      <c r="M156" s="1" t="s">
        <v>167</v>
      </c>
    </row>
    <row r="157" spans="1:13" ht="15" customHeight="1" x14ac:dyDescent="0.15">
      <c r="A157" s="2">
        <v>0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731009.29</v>
      </c>
      <c r="L157" s="2">
        <v>731009.29</v>
      </c>
      <c r="M157" s="1" t="s">
        <v>168</v>
      </c>
    </row>
    <row r="158" spans="1:13" ht="15" customHeight="1" x14ac:dyDescent="0.15">
      <c r="A158" s="2">
        <v>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160416.79</v>
      </c>
      <c r="H158" s="2">
        <v>948735</v>
      </c>
      <c r="I158" s="2">
        <v>0</v>
      </c>
      <c r="J158" s="2">
        <v>843736</v>
      </c>
      <c r="K158" s="2">
        <v>991479.89</v>
      </c>
      <c r="L158" s="2">
        <v>726064.1</v>
      </c>
      <c r="M158" s="1" t="s">
        <v>169</v>
      </c>
    </row>
    <row r="159" spans="1:13" ht="15" customHeight="1" x14ac:dyDescent="0.1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527999.80000000005</v>
      </c>
      <c r="H159" s="2">
        <v>3531700</v>
      </c>
      <c r="I159" s="2">
        <v>0</v>
      </c>
      <c r="J159" s="2">
        <v>1243500</v>
      </c>
      <c r="K159" s="2">
        <v>3531700.34</v>
      </c>
      <c r="L159" s="2">
        <v>715500.54</v>
      </c>
      <c r="M159" s="1" t="s">
        <v>170</v>
      </c>
    </row>
    <row r="160" spans="1:13" ht="15" customHeight="1" x14ac:dyDescent="0.15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500000</v>
      </c>
      <c r="I160" s="2">
        <v>0</v>
      </c>
      <c r="J160" s="2">
        <v>0</v>
      </c>
      <c r="K160" s="2">
        <v>1214026.04</v>
      </c>
      <c r="L160" s="2">
        <v>714026.04</v>
      </c>
      <c r="M160" s="1" t="s">
        <v>171</v>
      </c>
    </row>
    <row r="161" spans="1:13" ht="15" customHeight="1" x14ac:dyDescent="0.15">
      <c r="A161" s="2">
        <v>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15440</v>
      </c>
      <c r="H161" s="2">
        <v>115000</v>
      </c>
      <c r="I161" s="2">
        <v>0</v>
      </c>
      <c r="J161" s="2">
        <v>820154</v>
      </c>
      <c r="K161" s="2">
        <v>-47.74</v>
      </c>
      <c r="L161" s="2">
        <v>689666.26</v>
      </c>
      <c r="M161" s="1" t="s">
        <v>172</v>
      </c>
    </row>
    <row r="162" spans="1:13" ht="15" customHeight="1" x14ac:dyDescent="0.15">
      <c r="A162" s="2">
        <v>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259875</v>
      </c>
      <c r="H162" s="2">
        <v>1400000</v>
      </c>
      <c r="I162" s="2">
        <v>0</v>
      </c>
      <c r="J162" s="2">
        <v>2347345</v>
      </c>
      <c r="K162" s="2">
        <v>-5</v>
      </c>
      <c r="L162" s="2">
        <v>687465</v>
      </c>
      <c r="M162" s="1" t="s">
        <v>173</v>
      </c>
    </row>
    <row r="163" spans="1:13" ht="15" customHeight="1" x14ac:dyDescent="0.15">
      <c r="A163" s="2">
        <v>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100000</v>
      </c>
      <c r="I163" s="2">
        <v>0</v>
      </c>
      <c r="J163" s="2">
        <v>0</v>
      </c>
      <c r="K163" s="2">
        <v>782510.18</v>
      </c>
      <c r="L163" s="2">
        <v>682510.18</v>
      </c>
      <c r="M163" s="1" t="s">
        <v>174</v>
      </c>
    </row>
    <row r="164" spans="1:13" ht="15" customHeight="1" x14ac:dyDescent="0.15">
      <c r="A164" s="2">
        <v>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130000</v>
      </c>
      <c r="I164" s="2">
        <v>0</v>
      </c>
      <c r="J164" s="2">
        <v>0</v>
      </c>
      <c r="K164" s="2">
        <v>805665.81</v>
      </c>
      <c r="L164" s="2">
        <v>675665.81</v>
      </c>
      <c r="M164" s="1" t="s">
        <v>175</v>
      </c>
    </row>
    <row r="165" spans="1:13" ht="15" customHeight="1" x14ac:dyDescent="0.15">
      <c r="A165" s="2">
        <v>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28875</v>
      </c>
      <c r="H165" s="2">
        <v>400000</v>
      </c>
      <c r="I165" s="2">
        <v>0</v>
      </c>
      <c r="J165" s="2">
        <v>0</v>
      </c>
      <c r="K165" s="2">
        <v>1100112.6499999999</v>
      </c>
      <c r="L165" s="2">
        <v>671237.65</v>
      </c>
      <c r="M165" s="1" t="s">
        <v>176</v>
      </c>
    </row>
    <row r="166" spans="1:13" ht="15" customHeight="1" x14ac:dyDescent="0.15">
      <c r="A166" s="2">
        <v>0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50000</v>
      </c>
      <c r="I166" s="2">
        <v>0</v>
      </c>
      <c r="J166" s="2">
        <v>0</v>
      </c>
      <c r="K166" s="2">
        <v>718840.38</v>
      </c>
      <c r="L166" s="2">
        <v>668840.38</v>
      </c>
      <c r="M166" s="1" t="s">
        <v>177</v>
      </c>
    </row>
    <row r="167" spans="1:13" ht="15" customHeight="1" x14ac:dyDescent="0.1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112075</v>
      </c>
      <c r="H167" s="2">
        <v>30000</v>
      </c>
      <c r="I167" s="2">
        <v>0</v>
      </c>
      <c r="J167" s="2">
        <v>172300</v>
      </c>
      <c r="K167" s="2">
        <v>630023.61</v>
      </c>
      <c r="L167" s="2">
        <v>660248.61</v>
      </c>
      <c r="M167" s="1" t="s">
        <v>178</v>
      </c>
    </row>
    <row r="168" spans="1:13" ht="15" customHeight="1" x14ac:dyDescent="0.15">
      <c r="A168" s="2">
        <v>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639455.31999999995</v>
      </c>
      <c r="L168" s="2">
        <v>639455.31999999995</v>
      </c>
      <c r="M168" s="1" t="s">
        <v>179</v>
      </c>
    </row>
    <row r="169" spans="1:13" ht="15" customHeight="1" x14ac:dyDescent="0.15">
      <c r="A169" s="2">
        <v>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628398.68999999994</v>
      </c>
      <c r="L169" s="2">
        <v>628398.68999999994</v>
      </c>
      <c r="M169" s="1" t="s">
        <v>180</v>
      </c>
    </row>
    <row r="170" spans="1:13" ht="15" customHeight="1" x14ac:dyDescent="0.15">
      <c r="A170" s="2">
        <v>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180000</v>
      </c>
      <c r="I170" s="2">
        <v>0</v>
      </c>
      <c r="J170" s="2">
        <v>796010</v>
      </c>
      <c r="K170" s="2">
        <v>0</v>
      </c>
      <c r="L170" s="2">
        <v>616010</v>
      </c>
      <c r="M170" s="1" t="s">
        <v>181</v>
      </c>
    </row>
    <row r="171" spans="1:13" ht="15" customHeight="1" x14ac:dyDescent="0.15">
      <c r="A171" s="2">
        <v>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601583.27</v>
      </c>
      <c r="L171" s="2">
        <v>601583.27</v>
      </c>
      <c r="M171" s="1" t="s">
        <v>182</v>
      </c>
    </row>
    <row r="172" spans="1:13" ht="15" customHeight="1" x14ac:dyDescent="0.15">
      <c r="A172" s="2">
        <v>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588828.32999999996</v>
      </c>
      <c r="L172" s="2">
        <v>588828.32999999996</v>
      </c>
      <c r="M172" s="1" t="s">
        <v>183</v>
      </c>
    </row>
    <row r="173" spans="1:13" ht="15" customHeight="1" x14ac:dyDescent="0.15">
      <c r="A173" s="2">
        <v>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575028.84</v>
      </c>
      <c r="L173" s="2">
        <v>575028.84</v>
      </c>
      <c r="M173" s="1" t="s">
        <v>184</v>
      </c>
    </row>
    <row r="174" spans="1:13" ht="15" customHeight="1" x14ac:dyDescent="0.15">
      <c r="A174" s="2">
        <v>70455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69300</v>
      </c>
      <c r="H174" s="2">
        <v>0</v>
      </c>
      <c r="I174" s="2">
        <v>0</v>
      </c>
      <c r="J174" s="2">
        <v>675140</v>
      </c>
      <c r="K174" s="2">
        <v>-38920</v>
      </c>
      <c r="L174" s="2">
        <v>566920</v>
      </c>
      <c r="M174" s="1" t="s">
        <v>185</v>
      </c>
    </row>
    <row r="175" spans="1:13" ht="15" customHeight="1" x14ac:dyDescent="0.15">
      <c r="A175" s="2">
        <v>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186571.51</v>
      </c>
      <c r="H175" s="2">
        <v>200000</v>
      </c>
      <c r="I175" s="2">
        <v>0</v>
      </c>
      <c r="J175" s="2">
        <v>0</v>
      </c>
      <c r="K175" s="2">
        <v>949235.03</v>
      </c>
      <c r="L175" s="2">
        <v>562663.52</v>
      </c>
      <c r="M175" s="1" t="s">
        <v>186</v>
      </c>
    </row>
    <row r="176" spans="1:13" ht="15" customHeight="1" x14ac:dyDescent="0.15">
      <c r="A176" s="2">
        <v>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20000</v>
      </c>
      <c r="I176" s="2">
        <v>0</v>
      </c>
      <c r="J176" s="2">
        <v>0</v>
      </c>
      <c r="K176" s="2">
        <v>572295</v>
      </c>
      <c r="L176" s="2">
        <v>552295</v>
      </c>
      <c r="M176" s="1" t="s">
        <v>187</v>
      </c>
    </row>
    <row r="177" spans="1:13" ht="15" customHeight="1" x14ac:dyDescent="0.15">
      <c r="A177" s="2">
        <v>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76740</v>
      </c>
      <c r="H177" s="2">
        <v>250000</v>
      </c>
      <c r="I177" s="2">
        <v>0</v>
      </c>
      <c r="J177" s="2">
        <v>519930</v>
      </c>
      <c r="K177" s="2">
        <v>354096.39</v>
      </c>
      <c r="L177" s="2">
        <v>547286.39</v>
      </c>
      <c r="M177" s="1" t="s">
        <v>188</v>
      </c>
    </row>
    <row r="178" spans="1:13" ht="15" customHeight="1" x14ac:dyDescent="0.15">
      <c r="A178" s="2">
        <v>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547190</v>
      </c>
      <c r="L178" s="2">
        <v>547190</v>
      </c>
      <c r="M178" s="1" t="s">
        <v>189</v>
      </c>
    </row>
    <row r="179" spans="1:13" ht="15" customHeight="1" x14ac:dyDescent="0.15">
      <c r="A179" s="2">
        <v>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260000</v>
      </c>
      <c r="I179" s="2">
        <v>0</v>
      </c>
      <c r="J179" s="2">
        <v>727145</v>
      </c>
      <c r="K179" s="2">
        <v>78531</v>
      </c>
      <c r="L179" s="2">
        <v>545676</v>
      </c>
      <c r="M179" s="1" t="s">
        <v>190</v>
      </c>
    </row>
    <row r="180" spans="1:13" ht="15" customHeight="1" x14ac:dyDescent="0.15">
      <c r="A180" s="2">
        <v>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160000</v>
      </c>
      <c r="I180" s="2">
        <v>0</v>
      </c>
      <c r="J180" s="2">
        <v>222420</v>
      </c>
      <c r="K180" s="2">
        <v>474070</v>
      </c>
      <c r="L180" s="2">
        <v>536490</v>
      </c>
      <c r="M180" s="1" t="s">
        <v>191</v>
      </c>
    </row>
    <row r="181" spans="1:13" ht="15" customHeight="1" x14ac:dyDescent="0.15">
      <c r="A181" s="2">
        <v>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190500</v>
      </c>
      <c r="I181" s="2">
        <v>0</v>
      </c>
      <c r="J181" s="2">
        <v>167000</v>
      </c>
      <c r="K181" s="2">
        <v>555189.32999999996</v>
      </c>
      <c r="L181" s="2">
        <v>531689.32999999996</v>
      </c>
      <c r="M181" s="1" t="s">
        <v>192</v>
      </c>
    </row>
    <row r="182" spans="1:13" ht="15" customHeight="1" x14ac:dyDescent="0.15">
      <c r="A182" s="2">
        <v>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70000</v>
      </c>
      <c r="I182" s="2">
        <v>0</v>
      </c>
      <c r="J182" s="2">
        <v>314200</v>
      </c>
      <c r="K182" s="2">
        <v>275911.11</v>
      </c>
      <c r="L182" s="2">
        <v>520111.11</v>
      </c>
      <c r="M182" s="1" t="s">
        <v>193</v>
      </c>
    </row>
    <row r="183" spans="1:13" ht="15" customHeight="1" x14ac:dyDescent="0.15">
      <c r="A183" s="2">
        <v>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41904.75</v>
      </c>
      <c r="H183" s="2">
        <v>100000</v>
      </c>
      <c r="I183" s="2">
        <v>0</v>
      </c>
      <c r="J183" s="2">
        <v>225750</v>
      </c>
      <c r="K183" s="2">
        <v>432629.3</v>
      </c>
      <c r="L183" s="2">
        <v>516474.55</v>
      </c>
      <c r="M183" s="1" t="s">
        <v>194</v>
      </c>
    </row>
    <row r="184" spans="1:13" ht="15" customHeight="1" x14ac:dyDescent="0.15">
      <c r="A184" s="2">
        <v>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155000</v>
      </c>
      <c r="I184" s="2">
        <v>0</v>
      </c>
      <c r="J184" s="2">
        <v>107500</v>
      </c>
      <c r="K184" s="2">
        <v>563160.96</v>
      </c>
      <c r="L184" s="2">
        <v>515660.96</v>
      </c>
      <c r="M184" s="1" t="s">
        <v>195</v>
      </c>
    </row>
    <row r="185" spans="1:13" ht="15" customHeight="1" x14ac:dyDescent="0.15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390000</v>
      </c>
      <c r="I185" s="2">
        <v>0</v>
      </c>
      <c r="J185" s="2">
        <v>481860</v>
      </c>
      <c r="K185" s="2">
        <v>405600</v>
      </c>
      <c r="L185" s="2">
        <v>497460</v>
      </c>
      <c r="M185" s="1" t="s">
        <v>196</v>
      </c>
    </row>
    <row r="186" spans="1:13" ht="15" customHeight="1" x14ac:dyDescent="0.15">
      <c r="A186" s="2">
        <v>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170000</v>
      </c>
      <c r="I186" s="2">
        <v>0</v>
      </c>
      <c r="J186" s="2">
        <v>0</v>
      </c>
      <c r="K186" s="2">
        <v>659410.09</v>
      </c>
      <c r="L186" s="2">
        <v>489410.09</v>
      </c>
      <c r="M186" s="1" t="s">
        <v>197</v>
      </c>
    </row>
    <row r="187" spans="1:13" ht="15" customHeight="1" x14ac:dyDescent="0.15">
      <c r="A187" s="2">
        <v>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8830.3799999999992</v>
      </c>
      <c r="H187" s="2">
        <v>175000</v>
      </c>
      <c r="I187" s="2">
        <v>0</v>
      </c>
      <c r="J187" s="2">
        <v>672605</v>
      </c>
      <c r="K187" s="2">
        <v>-50.22</v>
      </c>
      <c r="L187" s="2">
        <v>488724.4</v>
      </c>
      <c r="M187" s="1" t="s">
        <v>198</v>
      </c>
    </row>
    <row r="188" spans="1:13" ht="15" customHeight="1" x14ac:dyDescent="0.15">
      <c r="A188" s="2">
        <v>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50000</v>
      </c>
      <c r="I188" s="2">
        <v>0</v>
      </c>
      <c r="J188" s="2">
        <v>0</v>
      </c>
      <c r="K188" s="2">
        <v>537602.24</v>
      </c>
      <c r="L188" s="2">
        <v>487602.24</v>
      </c>
      <c r="M188" s="1" t="s">
        <v>199</v>
      </c>
    </row>
    <row r="189" spans="1:13" ht="15" customHeight="1" x14ac:dyDescent="0.15">
      <c r="A189" s="2">
        <v>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479427</v>
      </c>
      <c r="L189" s="2">
        <v>479427</v>
      </c>
      <c r="M189" s="1" t="s">
        <v>200</v>
      </c>
    </row>
    <row r="190" spans="1:13" ht="15" customHeight="1" x14ac:dyDescent="0.15">
      <c r="A190" s="2">
        <v>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100000</v>
      </c>
      <c r="I190" s="2">
        <v>0</v>
      </c>
      <c r="J190" s="2">
        <v>0</v>
      </c>
      <c r="K190" s="2">
        <v>574893.04</v>
      </c>
      <c r="L190" s="2">
        <v>474893.04000000004</v>
      </c>
      <c r="M190" s="1" t="s">
        <v>201</v>
      </c>
    </row>
    <row r="191" spans="1:13" ht="15" customHeight="1" x14ac:dyDescent="0.15">
      <c r="A191" s="2">
        <v>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597672.86</v>
      </c>
      <c r="H191" s="2">
        <v>550000</v>
      </c>
      <c r="I191" s="2">
        <v>0</v>
      </c>
      <c r="J191" s="2">
        <v>1565700</v>
      </c>
      <c r="K191" s="2">
        <v>47926.35</v>
      </c>
      <c r="L191" s="2">
        <v>465953.49</v>
      </c>
      <c r="M191" s="1" t="s">
        <v>202</v>
      </c>
    </row>
    <row r="192" spans="1:13" ht="15" customHeight="1" x14ac:dyDescent="0.15">
      <c r="A192" s="2">
        <v>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84747.25</v>
      </c>
      <c r="H192" s="2">
        <v>300000</v>
      </c>
      <c r="I192" s="2">
        <v>0</v>
      </c>
      <c r="J192" s="2">
        <v>849870</v>
      </c>
      <c r="K192" s="2">
        <v>1.75</v>
      </c>
      <c r="L192" s="2">
        <v>465124.5</v>
      </c>
      <c r="M192" s="1" t="s">
        <v>203</v>
      </c>
    </row>
    <row r="193" spans="1:13" ht="15" customHeight="1" x14ac:dyDescent="0.15">
      <c r="A193" s="2">
        <v>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120000</v>
      </c>
      <c r="I193" s="2">
        <v>0</v>
      </c>
      <c r="J193" s="2">
        <v>0</v>
      </c>
      <c r="K193" s="2">
        <v>583641.56999999995</v>
      </c>
      <c r="L193" s="2">
        <v>463641.57</v>
      </c>
      <c r="M193" s="1" t="s">
        <v>204</v>
      </c>
    </row>
    <row r="194" spans="1:13" ht="15" customHeight="1" x14ac:dyDescent="0.15">
      <c r="A194" s="2">
        <v>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146863.64000000001</v>
      </c>
      <c r="H194" s="2">
        <v>80000</v>
      </c>
      <c r="I194" s="2">
        <v>0</v>
      </c>
      <c r="J194" s="2">
        <v>660260</v>
      </c>
      <c r="K194" s="2">
        <v>30056.05</v>
      </c>
      <c r="L194" s="2">
        <v>463452.41000000003</v>
      </c>
      <c r="M194" s="1" t="s">
        <v>205</v>
      </c>
    </row>
    <row r="195" spans="1:13" ht="15" customHeight="1" x14ac:dyDescent="0.15">
      <c r="A195" s="2">
        <v>0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260000</v>
      </c>
      <c r="I195" s="2">
        <v>0</v>
      </c>
      <c r="J195" s="2">
        <v>44041</v>
      </c>
      <c r="K195" s="2">
        <v>679031.8</v>
      </c>
      <c r="L195" s="2">
        <v>463072.8</v>
      </c>
      <c r="M195" s="1" t="s">
        <v>206</v>
      </c>
    </row>
    <row r="196" spans="1:13" ht="15" customHeight="1" x14ac:dyDescent="0.15">
      <c r="A196" s="2">
        <v>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520700</v>
      </c>
      <c r="I196" s="2">
        <v>0</v>
      </c>
      <c r="J196" s="2">
        <v>492590</v>
      </c>
      <c r="K196" s="2">
        <v>490719.10000000003</v>
      </c>
      <c r="L196" s="2">
        <v>462609.10000000003</v>
      </c>
      <c r="M196" s="1" t="s">
        <v>207</v>
      </c>
    </row>
    <row r="197" spans="1:13" ht="15" customHeight="1" x14ac:dyDescent="0.15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215000</v>
      </c>
      <c r="I197" s="2">
        <v>0</v>
      </c>
      <c r="J197" s="2">
        <v>0</v>
      </c>
      <c r="K197" s="2">
        <v>656129.16</v>
      </c>
      <c r="L197" s="2">
        <v>441129.16000000003</v>
      </c>
      <c r="M197" s="1" t="s">
        <v>208</v>
      </c>
    </row>
    <row r="198" spans="1:13" ht="15" customHeight="1" x14ac:dyDescent="0.15">
      <c r="A198" s="2">
        <v>0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40000</v>
      </c>
      <c r="I198" s="2">
        <v>0</v>
      </c>
      <c r="J198" s="2">
        <v>0</v>
      </c>
      <c r="K198" s="2">
        <v>480941.60000000003</v>
      </c>
      <c r="L198" s="2">
        <v>440941.60000000003</v>
      </c>
      <c r="M198" s="1" t="s">
        <v>209</v>
      </c>
    </row>
    <row r="199" spans="1:13" ht="15" customHeight="1" x14ac:dyDescent="0.15">
      <c r="A199" s="2">
        <v>0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74316.42</v>
      </c>
      <c r="H199" s="2">
        <v>280000</v>
      </c>
      <c r="I199" s="2">
        <v>0</v>
      </c>
      <c r="J199" s="2">
        <v>795200</v>
      </c>
      <c r="K199" s="2">
        <v>-89.15</v>
      </c>
      <c r="L199" s="2">
        <v>440794.43</v>
      </c>
      <c r="M199" s="1" t="s">
        <v>210</v>
      </c>
    </row>
    <row r="200" spans="1:13" ht="15" customHeight="1" x14ac:dyDescent="0.15">
      <c r="A200" s="2">
        <v>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10000</v>
      </c>
      <c r="I200" s="2">
        <v>0</v>
      </c>
      <c r="J200" s="2">
        <v>425625</v>
      </c>
      <c r="K200" s="2">
        <v>14710</v>
      </c>
      <c r="L200" s="2">
        <v>430335</v>
      </c>
      <c r="M200" s="1" t="s">
        <v>211</v>
      </c>
    </row>
    <row r="201" spans="1:13" ht="15" customHeight="1" x14ac:dyDescent="0.15">
      <c r="A201" s="2">
        <v>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428377</v>
      </c>
      <c r="L201" s="2">
        <v>428377</v>
      </c>
      <c r="M201" s="1" t="s">
        <v>212</v>
      </c>
    </row>
    <row r="202" spans="1:13" ht="15" customHeight="1" x14ac:dyDescent="0.15">
      <c r="A202" s="2">
        <v>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342000</v>
      </c>
      <c r="I202" s="2">
        <v>0</v>
      </c>
      <c r="J202" s="2">
        <v>272000</v>
      </c>
      <c r="K202" s="2">
        <v>496756.62</v>
      </c>
      <c r="L202" s="2">
        <v>426756.62</v>
      </c>
      <c r="M202" s="1" t="s">
        <v>213</v>
      </c>
    </row>
    <row r="203" spans="1:13" ht="15" customHeight="1" x14ac:dyDescent="0.15">
      <c r="A203" s="2">
        <v>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90000</v>
      </c>
      <c r="I203" s="2">
        <v>0</v>
      </c>
      <c r="J203" s="2">
        <v>0</v>
      </c>
      <c r="K203" s="2">
        <v>501474</v>
      </c>
      <c r="L203" s="2">
        <v>411474</v>
      </c>
      <c r="M203" s="1" t="s">
        <v>214</v>
      </c>
    </row>
    <row r="204" spans="1:13" ht="15" customHeight="1" x14ac:dyDescent="0.15">
      <c r="A204" s="2">
        <v>0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406791</v>
      </c>
      <c r="L204" s="2">
        <v>406791</v>
      </c>
      <c r="M204" s="1" t="s">
        <v>215</v>
      </c>
    </row>
    <row r="205" spans="1:13" ht="15" customHeight="1" x14ac:dyDescent="0.15">
      <c r="A205" s="2">
        <v>0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402345</v>
      </c>
      <c r="K205" s="2">
        <v>-3505.34</v>
      </c>
      <c r="L205" s="2">
        <v>398839.66000000003</v>
      </c>
      <c r="M205" s="1" t="s">
        <v>216</v>
      </c>
    </row>
    <row r="206" spans="1:13" ht="15" customHeight="1" x14ac:dyDescent="0.15">
      <c r="A206" s="2">
        <v>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335000</v>
      </c>
      <c r="I206" s="2">
        <v>0</v>
      </c>
      <c r="J206" s="2">
        <v>407650</v>
      </c>
      <c r="K206" s="2">
        <v>313853.33</v>
      </c>
      <c r="L206" s="2">
        <v>386503.33</v>
      </c>
      <c r="M206" s="1" t="s">
        <v>217</v>
      </c>
    </row>
    <row r="207" spans="1:13" ht="15" customHeight="1" x14ac:dyDescent="0.15">
      <c r="A207" s="2">
        <v>0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82186.740000000005</v>
      </c>
      <c r="H207" s="2">
        <v>10000</v>
      </c>
      <c r="I207" s="2">
        <v>0</v>
      </c>
      <c r="J207" s="2">
        <v>0</v>
      </c>
      <c r="K207" s="2">
        <v>475190</v>
      </c>
      <c r="L207" s="2">
        <v>383003.26</v>
      </c>
      <c r="M207" s="1" t="s">
        <v>218</v>
      </c>
    </row>
    <row r="208" spans="1:13" ht="15" customHeight="1" x14ac:dyDescent="0.15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66150</v>
      </c>
      <c r="H208" s="2">
        <v>45000</v>
      </c>
      <c r="I208" s="2">
        <v>0</v>
      </c>
      <c r="J208" s="2">
        <v>490900</v>
      </c>
      <c r="K208" s="2">
        <v>0</v>
      </c>
      <c r="L208" s="2">
        <v>379750</v>
      </c>
      <c r="M208" s="1" t="s">
        <v>219</v>
      </c>
    </row>
    <row r="209" spans="1:13" ht="15" customHeight="1" x14ac:dyDescent="0.15">
      <c r="A209" s="2">
        <v>0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20000</v>
      </c>
      <c r="I209" s="2">
        <v>0</v>
      </c>
      <c r="J209" s="2">
        <v>357000</v>
      </c>
      <c r="K209" s="2">
        <v>40000</v>
      </c>
      <c r="L209" s="2">
        <v>377000</v>
      </c>
      <c r="M209" s="1" t="s">
        <v>220</v>
      </c>
    </row>
    <row r="210" spans="1:13" ht="15" customHeight="1" x14ac:dyDescent="0.15">
      <c r="A210" s="2">
        <v>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371679.58</v>
      </c>
      <c r="L210" s="2">
        <v>371679.58</v>
      </c>
      <c r="M210" s="1" t="s">
        <v>221</v>
      </c>
    </row>
    <row r="211" spans="1:13" ht="15" customHeight="1" x14ac:dyDescent="0.15">
      <c r="A211" s="2">
        <v>0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864188.89</v>
      </c>
      <c r="H211" s="2">
        <v>650000</v>
      </c>
      <c r="I211" s="2">
        <v>0</v>
      </c>
      <c r="J211" s="2">
        <v>1880350</v>
      </c>
      <c r="K211" s="2">
        <v>0</v>
      </c>
      <c r="L211" s="2">
        <v>366161.11</v>
      </c>
      <c r="M211" s="1" t="s">
        <v>222</v>
      </c>
    </row>
    <row r="212" spans="1:13" ht="15" customHeight="1" x14ac:dyDescent="0.15">
      <c r="A212" s="2">
        <v>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100000</v>
      </c>
      <c r="I212" s="2">
        <v>0</v>
      </c>
      <c r="J212" s="2">
        <v>0</v>
      </c>
      <c r="K212" s="2">
        <v>460089.47000000003</v>
      </c>
      <c r="L212" s="2">
        <v>360089.47000000003</v>
      </c>
      <c r="M212" s="1" t="s">
        <v>223</v>
      </c>
    </row>
    <row r="213" spans="1:13" ht="15" customHeight="1" x14ac:dyDescent="0.15">
      <c r="A213" s="2">
        <v>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17763.810000000001</v>
      </c>
      <c r="H213" s="2">
        <v>310000</v>
      </c>
      <c r="I213" s="2">
        <v>0</v>
      </c>
      <c r="J213" s="2">
        <v>683560</v>
      </c>
      <c r="K213" s="2">
        <v>-51.08</v>
      </c>
      <c r="L213" s="2">
        <v>355745.11</v>
      </c>
      <c r="M213" s="1" t="s">
        <v>224</v>
      </c>
    </row>
    <row r="214" spans="1:13" ht="15" customHeight="1" x14ac:dyDescent="0.15">
      <c r="A214" s="2">
        <v>0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200000</v>
      </c>
      <c r="I214" s="2">
        <v>0</v>
      </c>
      <c r="J214" s="2">
        <v>548070</v>
      </c>
      <c r="K214" s="2">
        <v>0</v>
      </c>
      <c r="L214" s="2">
        <v>348070</v>
      </c>
      <c r="M214" s="1" t="s">
        <v>225</v>
      </c>
    </row>
    <row r="215" spans="1:13" ht="15" customHeight="1" x14ac:dyDescent="0.15">
      <c r="A215" s="2">
        <v>0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335022</v>
      </c>
      <c r="L215" s="2">
        <v>335022</v>
      </c>
      <c r="M215" s="1" t="s">
        <v>226</v>
      </c>
    </row>
    <row r="216" spans="1:13" ht="15" customHeight="1" x14ac:dyDescent="0.15">
      <c r="A216" s="2">
        <v>0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44419.040000000001</v>
      </c>
      <c r="H216" s="2">
        <v>0</v>
      </c>
      <c r="I216" s="2">
        <v>0</v>
      </c>
      <c r="J216" s="2">
        <v>0</v>
      </c>
      <c r="K216" s="2">
        <v>378383</v>
      </c>
      <c r="L216" s="2">
        <v>333963.96000000002</v>
      </c>
      <c r="M216" s="1" t="s">
        <v>227</v>
      </c>
    </row>
    <row r="217" spans="1:13" ht="15" customHeight="1" x14ac:dyDescent="0.15">
      <c r="A217" s="2">
        <v>0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170000</v>
      </c>
      <c r="H217" s="2">
        <v>0</v>
      </c>
      <c r="I217" s="2">
        <v>0</v>
      </c>
      <c r="J217" s="2">
        <v>340400</v>
      </c>
      <c r="K217" s="2">
        <v>163469.14000000001</v>
      </c>
      <c r="L217" s="2">
        <v>333869.14</v>
      </c>
      <c r="M217" s="1" t="s">
        <v>228</v>
      </c>
    </row>
    <row r="218" spans="1:13" ht="15" customHeight="1" x14ac:dyDescent="0.15">
      <c r="A218" s="2">
        <v>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197140</v>
      </c>
      <c r="K218" s="2">
        <v>131920.07999999999</v>
      </c>
      <c r="L218" s="2">
        <v>329060.08</v>
      </c>
      <c r="M218" s="1" t="s">
        <v>229</v>
      </c>
    </row>
    <row r="219" spans="1:13" ht="15" customHeight="1" x14ac:dyDescent="0.15">
      <c r="A219" s="2">
        <v>0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20000</v>
      </c>
      <c r="I219" s="2">
        <v>0</v>
      </c>
      <c r="J219" s="2">
        <v>0</v>
      </c>
      <c r="K219" s="2">
        <v>341055</v>
      </c>
      <c r="L219" s="2">
        <v>321055</v>
      </c>
      <c r="M219" s="1" t="s">
        <v>230</v>
      </c>
    </row>
    <row r="220" spans="1:13" ht="15" customHeight="1" x14ac:dyDescent="0.15">
      <c r="A220" s="2">
        <v>0</v>
      </c>
      <c r="B220" s="2">
        <v>0</v>
      </c>
      <c r="C220" s="2">
        <v>114406</v>
      </c>
      <c r="D220" s="2">
        <v>0</v>
      </c>
      <c r="E220" s="2">
        <v>0</v>
      </c>
      <c r="F220" s="2">
        <v>0</v>
      </c>
      <c r="G220" s="2">
        <v>27847.62</v>
      </c>
      <c r="H220" s="2">
        <v>365000</v>
      </c>
      <c r="I220" s="2">
        <v>0</v>
      </c>
      <c r="J220" s="2">
        <v>804200</v>
      </c>
      <c r="K220" s="2">
        <v>21308.22</v>
      </c>
      <c r="L220" s="2">
        <v>318254.59999999998</v>
      </c>
      <c r="M220" s="1" t="s">
        <v>231</v>
      </c>
    </row>
    <row r="221" spans="1:13" ht="15" customHeight="1" x14ac:dyDescent="0.15">
      <c r="A221" s="2">
        <v>0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100000</v>
      </c>
      <c r="I221" s="2">
        <v>0</v>
      </c>
      <c r="J221" s="2">
        <v>0</v>
      </c>
      <c r="K221" s="2">
        <v>410700</v>
      </c>
      <c r="L221" s="2">
        <v>310700</v>
      </c>
      <c r="M221" s="1" t="s">
        <v>232</v>
      </c>
    </row>
    <row r="222" spans="1:13" ht="15" customHeight="1" x14ac:dyDescent="0.15">
      <c r="A222" s="2">
        <v>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310278.26</v>
      </c>
      <c r="L222" s="2">
        <v>310278.26</v>
      </c>
      <c r="M222" s="1" t="s">
        <v>233</v>
      </c>
    </row>
    <row r="223" spans="1:13" ht="15" customHeight="1" x14ac:dyDescent="0.15">
      <c r="A223" s="2">
        <v>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231300</v>
      </c>
      <c r="I223" s="2">
        <v>0</v>
      </c>
      <c r="J223" s="2">
        <v>478800</v>
      </c>
      <c r="K223" s="2">
        <v>57050</v>
      </c>
      <c r="L223" s="2">
        <v>304550</v>
      </c>
      <c r="M223" s="1" t="s">
        <v>234</v>
      </c>
    </row>
    <row r="224" spans="1:13" ht="15" customHeight="1" x14ac:dyDescent="0.15">
      <c r="A224" s="2">
        <v>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295830.28999999998</v>
      </c>
      <c r="L224" s="2">
        <v>295830.28999999998</v>
      </c>
      <c r="M224" s="1" t="s">
        <v>235</v>
      </c>
    </row>
    <row r="225" spans="1:13" ht="15" customHeight="1" x14ac:dyDescent="0.15">
      <c r="A225" s="2">
        <v>0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229969.74</v>
      </c>
      <c r="H225" s="2">
        <v>50000</v>
      </c>
      <c r="I225" s="2">
        <v>0</v>
      </c>
      <c r="J225" s="2">
        <v>164350</v>
      </c>
      <c r="K225" s="2">
        <v>406226.65</v>
      </c>
      <c r="L225" s="2">
        <v>290606.90999999997</v>
      </c>
      <c r="M225" s="1" t="s">
        <v>236</v>
      </c>
    </row>
    <row r="226" spans="1:13" ht="15" customHeight="1" x14ac:dyDescent="0.15">
      <c r="A226" s="2">
        <v>0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118600</v>
      </c>
      <c r="I226" s="2">
        <v>0</v>
      </c>
      <c r="J226" s="2">
        <v>28600</v>
      </c>
      <c r="K226" s="2">
        <v>370856.98</v>
      </c>
      <c r="L226" s="2">
        <v>280856.98</v>
      </c>
      <c r="M226" s="1" t="s">
        <v>237</v>
      </c>
    </row>
    <row r="227" spans="1:13" ht="15" customHeight="1" x14ac:dyDescent="0.15">
      <c r="A227" s="2">
        <v>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280742.77</v>
      </c>
      <c r="L227" s="2">
        <v>280742.77</v>
      </c>
      <c r="M227" s="1" t="s">
        <v>238</v>
      </c>
    </row>
    <row r="228" spans="1:13" ht="15" customHeight="1" x14ac:dyDescent="0.15">
      <c r="A228" s="2">
        <v>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563000</v>
      </c>
      <c r="I228" s="2">
        <v>0</v>
      </c>
      <c r="J228" s="2">
        <v>828000</v>
      </c>
      <c r="K228" s="2">
        <v>15320</v>
      </c>
      <c r="L228" s="2">
        <v>280320</v>
      </c>
      <c r="M228" s="1" t="s">
        <v>239</v>
      </c>
    </row>
    <row r="229" spans="1:13" ht="15" customHeight="1" x14ac:dyDescent="0.15">
      <c r="A229" s="2">
        <v>0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271522.52</v>
      </c>
      <c r="L229" s="2">
        <v>271522.52</v>
      </c>
      <c r="M229" s="1" t="s">
        <v>240</v>
      </c>
    </row>
    <row r="230" spans="1:13" ht="15" customHeight="1" x14ac:dyDescent="0.15">
      <c r="A230" s="2">
        <v>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80000</v>
      </c>
      <c r="I230" s="2">
        <v>0</v>
      </c>
      <c r="J230" s="2">
        <v>319910</v>
      </c>
      <c r="K230" s="2">
        <v>29840.18</v>
      </c>
      <c r="L230" s="2">
        <v>269750.18</v>
      </c>
      <c r="M230" s="1" t="s">
        <v>241</v>
      </c>
    </row>
    <row r="231" spans="1:13" ht="15" customHeight="1" x14ac:dyDescent="0.15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81962.78</v>
      </c>
      <c r="H231" s="2">
        <v>0</v>
      </c>
      <c r="I231" s="2">
        <v>0</v>
      </c>
      <c r="J231" s="2">
        <v>0</v>
      </c>
      <c r="K231" s="2">
        <v>350600</v>
      </c>
      <c r="L231" s="2">
        <v>268637.21999999997</v>
      </c>
      <c r="M231" s="1" t="s">
        <v>242</v>
      </c>
    </row>
    <row r="232" spans="1:13" ht="15" customHeight="1" x14ac:dyDescent="0.15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11297</v>
      </c>
      <c r="H232" s="2">
        <v>125000</v>
      </c>
      <c r="I232" s="2">
        <v>0</v>
      </c>
      <c r="J232" s="2">
        <v>168420</v>
      </c>
      <c r="K232" s="2">
        <v>233124.99</v>
      </c>
      <c r="L232" s="2">
        <v>265247.99</v>
      </c>
      <c r="M232" s="1" t="s">
        <v>243</v>
      </c>
    </row>
    <row r="233" spans="1:13" ht="15" customHeight="1" x14ac:dyDescent="0.15">
      <c r="A233" s="2">
        <v>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262772.74</v>
      </c>
      <c r="L233" s="2">
        <v>262772.74</v>
      </c>
      <c r="M233" s="1" t="s">
        <v>244</v>
      </c>
    </row>
    <row r="234" spans="1:13" ht="15" customHeight="1" x14ac:dyDescent="0.15">
      <c r="A234" s="2">
        <v>0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254000</v>
      </c>
      <c r="K234" s="2">
        <v>0</v>
      </c>
      <c r="L234" s="2">
        <v>254000</v>
      </c>
      <c r="M234" s="1" t="s">
        <v>245</v>
      </c>
    </row>
    <row r="235" spans="1:13" ht="15" customHeight="1" x14ac:dyDescent="0.15">
      <c r="A235" s="2">
        <v>0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50000</v>
      </c>
      <c r="I235" s="2">
        <v>0</v>
      </c>
      <c r="J235" s="2">
        <v>0</v>
      </c>
      <c r="K235" s="2">
        <v>302060</v>
      </c>
      <c r="L235" s="2">
        <v>252060</v>
      </c>
      <c r="M235" s="1" t="s">
        <v>246</v>
      </c>
    </row>
    <row r="236" spans="1:13" ht="15" customHeight="1" x14ac:dyDescent="0.15">
      <c r="A236" s="2">
        <v>0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140800</v>
      </c>
      <c r="I236" s="2">
        <v>0</v>
      </c>
      <c r="J236" s="2">
        <v>301070</v>
      </c>
      <c r="K236" s="2">
        <v>85761</v>
      </c>
      <c r="L236" s="2">
        <v>246031</v>
      </c>
      <c r="M236" s="1" t="s">
        <v>247</v>
      </c>
    </row>
    <row r="237" spans="1:13" ht="15" customHeight="1" x14ac:dyDescent="0.15">
      <c r="A237" s="2">
        <v>0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244966.67</v>
      </c>
      <c r="L237" s="2">
        <v>244966.67</v>
      </c>
      <c r="M237" s="1" t="s">
        <v>248</v>
      </c>
    </row>
    <row r="238" spans="1:13" ht="15" customHeight="1" x14ac:dyDescent="0.15">
      <c r="A238" s="2">
        <v>0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368700</v>
      </c>
      <c r="I238" s="2">
        <v>0</v>
      </c>
      <c r="J238" s="2">
        <v>433380</v>
      </c>
      <c r="K238" s="2">
        <v>177720</v>
      </c>
      <c r="L238" s="2">
        <v>242400</v>
      </c>
      <c r="M238" s="1" t="s">
        <v>249</v>
      </c>
    </row>
    <row r="239" spans="1:13" ht="15" customHeight="1" x14ac:dyDescent="0.15">
      <c r="A239" s="2">
        <v>0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262260</v>
      </c>
      <c r="H239" s="2">
        <v>0</v>
      </c>
      <c r="I239" s="2">
        <v>0</v>
      </c>
      <c r="J239" s="2">
        <v>598210</v>
      </c>
      <c r="K239" s="2">
        <v>-94640.150000000009</v>
      </c>
      <c r="L239" s="2">
        <v>241309.85</v>
      </c>
      <c r="M239" s="1" t="s">
        <v>250</v>
      </c>
    </row>
    <row r="240" spans="1:13" ht="15" customHeight="1" x14ac:dyDescent="0.15">
      <c r="A240" s="2">
        <v>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30000</v>
      </c>
      <c r="I240" s="2">
        <v>0</v>
      </c>
      <c r="J240" s="2">
        <v>0</v>
      </c>
      <c r="K240" s="2">
        <v>269039.96000000002</v>
      </c>
      <c r="L240" s="2">
        <v>239039.96</v>
      </c>
      <c r="M240" s="1" t="s">
        <v>251</v>
      </c>
    </row>
    <row r="241" spans="1:13" ht="15" customHeight="1" x14ac:dyDescent="0.15">
      <c r="A241" s="2">
        <v>0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239713.49</v>
      </c>
      <c r="H241" s="2">
        <v>75000</v>
      </c>
      <c r="I241" s="2">
        <v>0</v>
      </c>
      <c r="J241" s="2">
        <v>269500</v>
      </c>
      <c r="K241" s="2">
        <v>280050</v>
      </c>
      <c r="L241" s="2">
        <v>234836.51</v>
      </c>
      <c r="M241" s="1" t="s">
        <v>252</v>
      </c>
    </row>
    <row r="242" spans="1:13" ht="15" customHeight="1" x14ac:dyDescent="0.15">
      <c r="A242" s="2">
        <v>0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233882.80000000002</v>
      </c>
      <c r="L242" s="2">
        <v>233882.80000000002</v>
      </c>
      <c r="M242" s="1" t="s">
        <v>253</v>
      </c>
    </row>
    <row r="243" spans="1:13" ht="15" customHeight="1" x14ac:dyDescent="0.15">
      <c r="A243" s="2">
        <v>0</v>
      </c>
      <c r="B243" s="2">
        <v>0</v>
      </c>
      <c r="C243" s="2">
        <v>169495</v>
      </c>
      <c r="D243" s="2">
        <v>0</v>
      </c>
      <c r="E243" s="2">
        <v>0</v>
      </c>
      <c r="F243" s="2">
        <v>0</v>
      </c>
      <c r="G243" s="2">
        <v>0</v>
      </c>
      <c r="H243" s="2">
        <v>80000</v>
      </c>
      <c r="I243" s="2">
        <v>0</v>
      </c>
      <c r="J243" s="2">
        <v>0</v>
      </c>
      <c r="K243" s="2">
        <v>478595.54000000004</v>
      </c>
      <c r="L243" s="2">
        <v>229100.54</v>
      </c>
      <c r="M243" s="1" t="s">
        <v>254</v>
      </c>
    </row>
    <row r="244" spans="1:13" ht="15" customHeight="1" x14ac:dyDescent="0.15">
      <c r="A244" s="2">
        <v>0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30880</v>
      </c>
      <c r="H244" s="2">
        <v>40000</v>
      </c>
      <c r="I244" s="2">
        <v>0</v>
      </c>
      <c r="J244" s="2">
        <v>160610</v>
      </c>
      <c r="K244" s="2">
        <v>139220</v>
      </c>
      <c r="L244" s="2">
        <v>228950</v>
      </c>
      <c r="M244" s="1" t="s">
        <v>255</v>
      </c>
    </row>
    <row r="245" spans="1:13" ht="15" customHeight="1" x14ac:dyDescent="0.15">
      <c r="A245" s="2">
        <v>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219625</v>
      </c>
      <c r="L245" s="2">
        <v>219625</v>
      </c>
      <c r="M245" s="1" t="s">
        <v>256</v>
      </c>
    </row>
    <row r="246" spans="1:13" ht="15" customHeight="1" x14ac:dyDescent="0.15">
      <c r="A246" s="2">
        <v>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215405.06</v>
      </c>
      <c r="L246" s="2">
        <v>215405.06</v>
      </c>
      <c r="M246" s="1" t="s">
        <v>257</v>
      </c>
    </row>
    <row r="247" spans="1:13" ht="15" customHeight="1" x14ac:dyDescent="0.15">
      <c r="A247" s="2">
        <v>0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35000</v>
      </c>
      <c r="I247" s="2">
        <v>0</v>
      </c>
      <c r="J247" s="2">
        <v>0</v>
      </c>
      <c r="K247" s="2">
        <v>249387.4</v>
      </c>
      <c r="L247" s="2">
        <v>214387.4</v>
      </c>
      <c r="M247" s="1" t="s">
        <v>258</v>
      </c>
    </row>
    <row r="248" spans="1:13" ht="15" customHeight="1" x14ac:dyDescent="0.15">
      <c r="A248" s="2">
        <v>0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86000</v>
      </c>
      <c r="I248" s="2">
        <v>0</v>
      </c>
      <c r="J248" s="2">
        <v>130200</v>
      </c>
      <c r="K248" s="2">
        <v>170149.16</v>
      </c>
      <c r="L248" s="2">
        <v>214349.16</v>
      </c>
      <c r="M248" s="1" t="s">
        <v>259</v>
      </c>
    </row>
    <row r="249" spans="1:13" ht="15" customHeight="1" x14ac:dyDescent="0.15">
      <c r="A249" s="2">
        <v>0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209655.30000000002</v>
      </c>
      <c r="L249" s="2">
        <v>209655.30000000002</v>
      </c>
      <c r="M249" s="1" t="s">
        <v>260</v>
      </c>
    </row>
    <row r="250" spans="1:13" ht="15" customHeight="1" x14ac:dyDescent="0.15">
      <c r="A250" s="2">
        <v>0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405000</v>
      </c>
      <c r="I250" s="2">
        <v>0</v>
      </c>
      <c r="J250" s="2">
        <v>612200</v>
      </c>
      <c r="K250" s="2">
        <v>0</v>
      </c>
      <c r="L250" s="2">
        <v>207200</v>
      </c>
      <c r="M250" s="1" t="s">
        <v>261</v>
      </c>
    </row>
    <row r="251" spans="1:13" ht="15" customHeight="1" x14ac:dyDescent="0.15">
      <c r="A251" s="2">
        <v>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202305.85</v>
      </c>
      <c r="L251" s="2">
        <v>202305.85</v>
      </c>
      <c r="M251" s="1" t="s">
        <v>262</v>
      </c>
    </row>
    <row r="252" spans="1:13" ht="15" customHeight="1" x14ac:dyDescent="0.15">
      <c r="A252" s="2">
        <v>0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53940.020000000004</v>
      </c>
      <c r="H252" s="2">
        <v>15000</v>
      </c>
      <c r="I252" s="2">
        <v>0</v>
      </c>
      <c r="J252" s="2">
        <v>94180</v>
      </c>
      <c r="K252" s="2">
        <v>175820</v>
      </c>
      <c r="L252" s="2">
        <v>201059.98</v>
      </c>
      <c r="M252" s="1" t="s">
        <v>263</v>
      </c>
    </row>
    <row r="253" spans="1:13" ht="15" customHeight="1" x14ac:dyDescent="0.15">
      <c r="A253" s="2">
        <v>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199334</v>
      </c>
      <c r="L253" s="2">
        <v>199334</v>
      </c>
      <c r="M253" s="1" t="s">
        <v>264</v>
      </c>
    </row>
    <row r="254" spans="1:13" ht="15" customHeight="1" x14ac:dyDescent="0.15">
      <c r="A254" s="2">
        <v>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198470</v>
      </c>
      <c r="L254" s="2">
        <v>198470</v>
      </c>
      <c r="M254" s="1" t="s">
        <v>265</v>
      </c>
    </row>
    <row r="255" spans="1:13" ht="15" customHeight="1" x14ac:dyDescent="0.15">
      <c r="A255" s="2">
        <v>0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126000</v>
      </c>
      <c r="K255" s="2">
        <v>70714.45</v>
      </c>
      <c r="L255" s="2">
        <v>196714.45</v>
      </c>
      <c r="M255" s="1" t="s">
        <v>266</v>
      </c>
    </row>
    <row r="256" spans="1:13" ht="15" customHeight="1" x14ac:dyDescent="0.15">
      <c r="A256" s="2">
        <v>0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193478</v>
      </c>
      <c r="L256" s="2">
        <v>193478</v>
      </c>
      <c r="M256" s="1" t="s">
        <v>267</v>
      </c>
    </row>
    <row r="257" spans="1:13" ht="15" customHeight="1" x14ac:dyDescent="0.15">
      <c r="A257" s="2">
        <v>0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150577.4</v>
      </c>
      <c r="H257" s="2">
        <v>140700</v>
      </c>
      <c r="I257" s="2">
        <v>0</v>
      </c>
      <c r="J257" s="2">
        <v>474620</v>
      </c>
      <c r="K257" s="2">
        <v>9003.2900000000009</v>
      </c>
      <c r="L257" s="2">
        <v>192345.89</v>
      </c>
      <c r="M257" s="1" t="s">
        <v>268</v>
      </c>
    </row>
    <row r="258" spans="1:13" ht="15" customHeight="1" x14ac:dyDescent="0.15">
      <c r="A258" s="2">
        <v>0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15000</v>
      </c>
      <c r="I258" s="2">
        <v>0</v>
      </c>
      <c r="J258" s="2">
        <v>0</v>
      </c>
      <c r="K258" s="2">
        <v>200534.79</v>
      </c>
      <c r="L258" s="2">
        <v>185534.79</v>
      </c>
      <c r="M258" s="1" t="s">
        <v>269</v>
      </c>
    </row>
    <row r="259" spans="1:13" ht="15" customHeight="1" x14ac:dyDescent="0.15">
      <c r="A259" s="2">
        <v>0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35000</v>
      </c>
      <c r="I259" s="2">
        <v>0</v>
      </c>
      <c r="J259" s="2">
        <v>0</v>
      </c>
      <c r="K259" s="2">
        <v>210357.38</v>
      </c>
      <c r="L259" s="2">
        <v>175357.38</v>
      </c>
      <c r="M259" s="1" t="s">
        <v>270</v>
      </c>
    </row>
    <row r="260" spans="1:13" ht="15" customHeight="1" x14ac:dyDescent="0.15">
      <c r="A260" s="2">
        <v>0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100000</v>
      </c>
      <c r="I260" s="2">
        <v>0</v>
      </c>
      <c r="J260" s="2">
        <v>268400</v>
      </c>
      <c r="K260" s="2">
        <v>5508</v>
      </c>
      <c r="L260" s="2">
        <v>173908</v>
      </c>
      <c r="M260" s="1" t="s">
        <v>271</v>
      </c>
    </row>
    <row r="261" spans="1:13" ht="15" customHeight="1" x14ac:dyDescent="0.15">
      <c r="A261" s="2">
        <v>0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19381</v>
      </c>
      <c r="H261" s="2">
        <v>140000</v>
      </c>
      <c r="I261" s="2">
        <v>0</v>
      </c>
      <c r="J261" s="2">
        <v>0</v>
      </c>
      <c r="K261" s="2">
        <v>326039.96000000002</v>
      </c>
      <c r="L261" s="2">
        <v>166658.96</v>
      </c>
      <c r="M261" s="1" t="s">
        <v>272</v>
      </c>
    </row>
    <row r="262" spans="1:13" ht="15" customHeight="1" x14ac:dyDescent="0.15">
      <c r="A262" s="2">
        <v>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162296</v>
      </c>
      <c r="L262" s="2">
        <v>162296</v>
      </c>
      <c r="M262" s="1" t="s">
        <v>273</v>
      </c>
    </row>
    <row r="263" spans="1:13" ht="15" customHeight="1" x14ac:dyDescent="0.15">
      <c r="A263" s="2">
        <v>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30000</v>
      </c>
      <c r="I263" s="2">
        <v>0</v>
      </c>
      <c r="J263" s="2">
        <v>0</v>
      </c>
      <c r="K263" s="2">
        <v>191090</v>
      </c>
      <c r="L263" s="2">
        <v>161090</v>
      </c>
      <c r="M263" s="1" t="s">
        <v>274</v>
      </c>
    </row>
    <row r="264" spans="1:13" ht="15" customHeight="1" x14ac:dyDescent="0.15">
      <c r="A264" s="2">
        <v>0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50000</v>
      </c>
      <c r="I264" s="2">
        <v>0</v>
      </c>
      <c r="J264" s="2">
        <v>204750</v>
      </c>
      <c r="K264" s="2">
        <v>0</v>
      </c>
      <c r="L264" s="2">
        <v>154750</v>
      </c>
      <c r="M264" s="1" t="s">
        <v>275</v>
      </c>
    </row>
    <row r="265" spans="1:13" ht="15" customHeight="1" x14ac:dyDescent="0.15">
      <c r="A265" s="2">
        <v>0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145690</v>
      </c>
      <c r="L265" s="2">
        <v>145690</v>
      </c>
      <c r="M265" s="1" t="s">
        <v>276</v>
      </c>
    </row>
    <row r="266" spans="1:13" ht="15" customHeight="1" x14ac:dyDescent="0.15">
      <c r="A266" s="2">
        <v>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8165.4400000000005</v>
      </c>
      <c r="H266" s="2">
        <v>315000</v>
      </c>
      <c r="I266" s="2">
        <v>0</v>
      </c>
      <c r="J266" s="2">
        <v>118160</v>
      </c>
      <c r="K266" s="2">
        <v>349477</v>
      </c>
      <c r="L266" s="2">
        <v>144471.56</v>
      </c>
      <c r="M266" s="1" t="s">
        <v>277</v>
      </c>
    </row>
    <row r="267" spans="1:13" ht="15" customHeight="1" x14ac:dyDescent="0.15">
      <c r="A267" s="2">
        <v>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47000</v>
      </c>
      <c r="I267" s="2">
        <v>0</v>
      </c>
      <c r="J267" s="2">
        <v>152920</v>
      </c>
      <c r="K267" s="2">
        <v>36940</v>
      </c>
      <c r="L267" s="2">
        <v>142860</v>
      </c>
      <c r="M267" s="1" t="s">
        <v>278</v>
      </c>
    </row>
    <row r="268" spans="1:13" ht="15" customHeight="1" x14ac:dyDescent="0.15">
      <c r="A268" s="2">
        <v>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140494.19</v>
      </c>
      <c r="L268" s="2">
        <v>140494.19</v>
      </c>
      <c r="M268" s="1" t="s">
        <v>279</v>
      </c>
    </row>
    <row r="269" spans="1:13" ht="15" customHeight="1" x14ac:dyDescent="0.15">
      <c r="A269" s="2">
        <v>0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134330.70000000001</v>
      </c>
      <c r="L269" s="2">
        <v>134330.70000000001</v>
      </c>
      <c r="M269" s="1" t="s">
        <v>280</v>
      </c>
    </row>
    <row r="270" spans="1:13" ht="15" customHeight="1" x14ac:dyDescent="0.15">
      <c r="A270" s="2">
        <v>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133882</v>
      </c>
      <c r="L270" s="2">
        <v>133882</v>
      </c>
      <c r="M270" s="1" t="s">
        <v>281</v>
      </c>
    </row>
    <row r="271" spans="1:13" ht="15" customHeight="1" x14ac:dyDescent="0.15">
      <c r="A271" s="2">
        <v>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133623</v>
      </c>
      <c r="L271" s="2">
        <v>133623</v>
      </c>
      <c r="M271" s="1" t="s">
        <v>282</v>
      </c>
    </row>
    <row r="272" spans="1:13" ht="15" customHeight="1" x14ac:dyDescent="0.15">
      <c r="A272" s="2">
        <v>0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133091</v>
      </c>
      <c r="L272" s="2">
        <v>133091</v>
      </c>
      <c r="M272" s="1" t="s">
        <v>283</v>
      </c>
    </row>
    <row r="273" spans="1:13" ht="15" customHeight="1" x14ac:dyDescent="0.15">
      <c r="A273" s="2">
        <v>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60000</v>
      </c>
      <c r="I273" s="2">
        <v>0</v>
      </c>
      <c r="J273" s="2">
        <v>0</v>
      </c>
      <c r="K273" s="2">
        <v>192600</v>
      </c>
      <c r="L273" s="2">
        <v>132600</v>
      </c>
      <c r="M273" s="1" t="s">
        <v>284</v>
      </c>
    </row>
    <row r="274" spans="1:13" ht="15" customHeight="1" x14ac:dyDescent="0.15">
      <c r="A274" s="2">
        <v>0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128541</v>
      </c>
      <c r="L274" s="2">
        <v>128541</v>
      </c>
      <c r="M274" s="1" t="s">
        <v>285</v>
      </c>
    </row>
    <row r="275" spans="1:13" ht="15" customHeight="1" x14ac:dyDescent="0.15">
      <c r="A275" s="2">
        <v>0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126799.89</v>
      </c>
      <c r="L275" s="2">
        <v>126799.89</v>
      </c>
      <c r="M275" s="1" t="s">
        <v>286</v>
      </c>
    </row>
    <row r="276" spans="1:13" ht="15" customHeight="1" x14ac:dyDescent="0.15">
      <c r="A276" s="2">
        <v>0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97541.64</v>
      </c>
      <c r="H276" s="2">
        <v>0</v>
      </c>
      <c r="I276" s="2">
        <v>0</v>
      </c>
      <c r="J276" s="2">
        <v>163920</v>
      </c>
      <c r="K276" s="2">
        <v>59492</v>
      </c>
      <c r="L276" s="2">
        <v>125870.36</v>
      </c>
      <c r="M276" s="1" t="s">
        <v>287</v>
      </c>
    </row>
    <row r="277" spans="1:13" ht="15" customHeight="1" x14ac:dyDescent="0.15">
      <c r="A277" s="2">
        <v>0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84000</v>
      </c>
      <c r="I277" s="2">
        <v>0</v>
      </c>
      <c r="J277" s="2">
        <v>122500</v>
      </c>
      <c r="K277" s="2">
        <v>87234</v>
      </c>
      <c r="L277" s="2">
        <v>125734</v>
      </c>
      <c r="M277" s="1" t="s">
        <v>288</v>
      </c>
    </row>
    <row r="278" spans="1:13" ht="15" customHeight="1" x14ac:dyDescent="0.15">
      <c r="A278" s="2">
        <v>0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125040</v>
      </c>
      <c r="K278" s="2">
        <v>0</v>
      </c>
      <c r="L278" s="2">
        <v>125040</v>
      </c>
      <c r="M278" s="1" t="s">
        <v>289</v>
      </c>
    </row>
    <row r="279" spans="1:13" ht="15" customHeight="1" x14ac:dyDescent="0.15">
      <c r="A279" s="2">
        <v>0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122160</v>
      </c>
      <c r="L279" s="2">
        <v>122160</v>
      </c>
      <c r="M279" s="1" t="s">
        <v>290</v>
      </c>
    </row>
    <row r="280" spans="1:13" ht="15" customHeight="1" x14ac:dyDescent="0.15">
      <c r="A280" s="2">
        <v>0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152260</v>
      </c>
      <c r="H280" s="2">
        <v>263550</v>
      </c>
      <c r="I280" s="2">
        <v>0</v>
      </c>
      <c r="J280" s="2">
        <v>536560</v>
      </c>
      <c r="K280" s="2">
        <v>40.9</v>
      </c>
      <c r="L280" s="2">
        <v>120790.90000000001</v>
      </c>
      <c r="M280" s="1" t="s">
        <v>291</v>
      </c>
    </row>
    <row r="281" spans="1:13" ht="15" customHeight="1" x14ac:dyDescent="0.15">
      <c r="A281" s="2">
        <v>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119953</v>
      </c>
      <c r="L281" s="2">
        <v>119953</v>
      </c>
      <c r="M281" s="1" t="s">
        <v>292</v>
      </c>
    </row>
    <row r="282" spans="1:13" ht="15" customHeight="1" x14ac:dyDescent="0.15">
      <c r="A282" s="2">
        <v>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119360</v>
      </c>
      <c r="L282" s="2">
        <v>119360</v>
      </c>
      <c r="M282" s="1" t="s">
        <v>293</v>
      </c>
    </row>
    <row r="283" spans="1:13" ht="15" customHeight="1" x14ac:dyDescent="0.15">
      <c r="A283" s="2">
        <v>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118674.08</v>
      </c>
      <c r="L283" s="2">
        <v>118674.08</v>
      </c>
      <c r="M283" s="1" t="s">
        <v>294</v>
      </c>
    </row>
    <row r="284" spans="1:13" ht="15" customHeight="1" x14ac:dyDescent="0.15">
      <c r="A284" s="2">
        <v>0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708600</v>
      </c>
      <c r="H284" s="2">
        <v>850320</v>
      </c>
      <c r="I284" s="2">
        <v>0</v>
      </c>
      <c r="J284" s="2">
        <v>1674420</v>
      </c>
      <c r="K284" s="2">
        <v>-350</v>
      </c>
      <c r="L284" s="2">
        <v>115150</v>
      </c>
      <c r="M284" s="1" t="s">
        <v>295</v>
      </c>
    </row>
    <row r="285" spans="1:13" ht="15" customHeight="1" x14ac:dyDescent="0.15">
      <c r="A285" s="2">
        <v>0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80500</v>
      </c>
      <c r="I285" s="2">
        <v>0</v>
      </c>
      <c r="J285" s="2">
        <v>165520</v>
      </c>
      <c r="K285" s="2">
        <v>25871.47</v>
      </c>
      <c r="L285" s="2">
        <v>110891.47</v>
      </c>
      <c r="M285" s="1" t="s">
        <v>296</v>
      </c>
    </row>
    <row r="286" spans="1:13" ht="15" customHeight="1" x14ac:dyDescent="0.15">
      <c r="A286" s="2">
        <v>0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110333</v>
      </c>
      <c r="L286" s="2">
        <v>110333</v>
      </c>
      <c r="M286" s="1" t="s">
        <v>297</v>
      </c>
    </row>
    <row r="287" spans="1:13" ht="15" customHeight="1" x14ac:dyDescent="0.15">
      <c r="A287" s="2">
        <v>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105390</v>
      </c>
      <c r="K287" s="2">
        <v>-26.55</v>
      </c>
      <c r="L287" s="2">
        <v>105363.45</v>
      </c>
      <c r="M287" s="1" t="s">
        <v>298</v>
      </c>
    </row>
    <row r="288" spans="1:13" ht="15" customHeight="1" x14ac:dyDescent="0.15">
      <c r="A288" s="2">
        <v>0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73490</v>
      </c>
      <c r="K288" s="2">
        <v>31571.9</v>
      </c>
      <c r="L288" s="2">
        <v>105061.90000000001</v>
      </c>
      <c r="M288" s="1" t="s">
        <v>299</v>
      </c>
    </row>
    <row r="289" spans="1:13" ht="15" customHeight="1" x14ac:dyDescent="0.15">
      <c r="A289" s="2">
        <v>0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30000</v>
      </c>
      <c r="I289" s="2">
        <v>0</v>
      </c>
      <c r="J289" s="2">
        <v>0</v>
      </c>
      <c r="K289" s="2">
        <v>133319.64000000001</v>
      </c>
      <c r="L289" s="2">
        <v>103319.64</v>
      </c>
      <c r="M289" s="1" t="s">
        <v>300</v>
      </c>
    </row>
    <row r="290" spans="1:13" ht="15" customHeight="1" x14ac:dyDescent="0.15">
      <c r="A290" s="2">
        <v>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101095</v>
      </c>
      <c r="L290" s="2">
        <v>101095</v>
      </c>
      <c r="M290" s="1" t="s">
        <v>301</v>
      </c>
    </row>
    <row r="291" spans="1:13" ht="15" customHeight="1" x14ac:dyDescent="0.15">
      <c r="A291" s="2">
        <v>0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231000</v>
      </c>
      <c r="H291" s="2">
        <v>1354480</v>
      </c>
      <c r="I291" s="2">
        <v>0</v>
      </c>
      <c r="J291" s="2">
        <v>1454630</v>
      </c>
      <c r="K291" s="2">
        <v>231220</v>
      </c>
      <c r="L291" s="2">
        <v>100370</v>
      </c>
      <c r="M291" s="1" t="s">
        <v>302</v>
      </c>
    </row>
    <row r="292" spans="1:13" ht="15" customHeight="1" x14ac:dyDescent="0.15">
      <c r="A292" s="2">
        <v>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99061</v>
      </c>
      <c r="L292" s="2">
        <v>99061</v>
      </c>
      <c r="M292" s="1" t="s">
        <v>303</v>
      </c>
    </row>
    <row r="293" spans="1:13" ht="15" customHeight="1" x14ac:dyDescent="0.15">
      <c r="A293" s="2">
        <v>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92400</v>
      </c>
      <c r="K293" s="2">
        <v>-13.42</v>
      </c>
      <c r="L293" s="2">
        <v>92386.58</v>
      </c>
      <c r="M293" s="1" t="s">
        <v>304</v>
      </c>
    </row>
    <row r="294" spans="1:13" ht="15" customHeight="1" x14ac:dyDescent="0.15">
      <c r="A294" s="2">
        <v>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91816.24</v>
      </c>
      <c r="L294" s="2">
        <v>91816.24</v>
      </c>
      <c r="M294" s="1" t="s">
        <v>305</v>
      </c>
    </row>
    <row r="295" spans="1:13" ht="15" customHeight="1" x14ac:dyDescent="0.15">
      <c r="A295" s="2">
        <v>0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90553.26</v>
      </c>
      <c r="L295" s="2">
        <v>90553.26</v>
      </c>
      <c r="M295" s="1" t="s">
        <v>306</v>
      </c>
    </row>
    <row r="296" spans="1:13" ht="15" customHeight="1" x14ac:dyDescent="0.15">
      <c r="A296" s="2">
        <v>0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90240</v>
      </c>
      <c r="K296" s="2">
        <v>-59.94</v>
      </c>
      <c r="L296" s="2">
        <v>90180.06</v>
      </c>
      <c r="M296" s="1" t="s">
        <v>307</v>
      </c>
    </row>
    <row r="297" spans="1:13" ht="15" customHeight="1" x14ac:dyDescent="0.15">
      <c r="A297" s="2">
        <v>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25000</v>
      </c>
      <c r="I297" s="2">
        <v>0</v>
      </c>
      <c r="J297" s="2">
        <v>0</v>
      </c>
      <c r="K297" s="2">
        <v>114372.25</v>
      </c>
      <c r="L297" s="2">
        <v>89372.25</v>
      </c>
      <c r="M297" s="1" t="s">
        <v>308</v>
      </c>
    </row>
    <row r="298" spans="1:13" ht="15" customHeight="1" x14ac:dyDescent="0.15">
      <c r="A298" s="2">
        <v>0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86481.72</v>
      </c>
      <c r="L298" s="2">
        <v>86481.72</v>
      </c>
      <c r="M298" s="1" t="s">
        <v>309</v>
      </c>
    </row>
    <row r="299" spans="1:13" ht="15" customHeight="1" x14ac:dyDescent="0.15">
      <c r="A299" s="2">
        <v>0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86350</v>
      </c>
      <c r="K299" s="2">
        <v>-59.730000000000004</v>
      </c>
      <c r="L299" s="2">
        <v>86290.27</v>
      </c>
      <c r="M299" s="1" t="s">
        <v>310</v>
      </c>
    </row>
    <row r="300" spans="1:13" ht="15" customHeight="1" x14ac:dyDescent="0.15">
      <c r="A300" s="2">
        <v>0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83580</v>
      </c>
      <c r="K300" s="2">
        <v>0</v>
      </c>
      <c r="L300" s="2">
        <v>83580</v>
      </c>
      <c r="M300" s="1" t="s">
        <v>311</v>
      </c>
    </row>
    <row r="301" spans="1:13" ht="15" customHeight="1" x14ac:dyDescent="0.15">
      <c r="A301" s="2">
        <v>0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64000</v>
      </c>
      <c r="I301" s="2">
        <v>0</v>
      </c>
      <c r="J301" s="2">
        <v>0</v>
      </c>
      <c r="K301" s="2">
        <v>147534.98000000001</v>
      </c>
      <c r="L301" s="2">
        <v>83534.98</v>
      </c>
      <c r="M301" s="1" t="s">
        <v>312</v>
      </c>
    </row>
    <row r="302" spans="1:13" ht="15" customHeight="1" x14ac:dyDescent="0.15">
      <c r="A302" s="2">
        <v>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83307.539999999994</v>
      </c>
      <c r="L302" s="2">
        <v>83307.539999999994</v>
      </c>
      <c r="M302" s="1" t="s">
        <v>313</v>
      </c>
    </row>
    <row r="303" spans="1:13" ht="15" customHeight="1" x14ac:dyDescent="0.15">
      <c r="A303" s="2">
        <v>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39600</v>
      </c>
      <c r="H303" s="2">
        <v>0</v>
      </c>
      <c r="I303" s="2">
        <v>0</v>
      </c>
      <c r="J303" s="2">
        <v>0</v>
      </c>
      <c r="K303" s="2">
        <v>119850</v>
      </c>
      <c r="L303" s="2">
        <v>80250</v>
      </c>
      <c r="M303" s="1" t="s">
        <v>314</v>
      </c>
    </row>
    <row r="304" spans="1:13" ht="15" customHeight="1" x14ac:dyDescent="0.15">
      <c r="A304" s="2">
        <v>0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79803.39</v>
      </c>
      <c r="L304" s="2">
        <v>79803.39</v>
      </c>
      <c r="M304" s="1" t="s">
        <v>315</v>
      </c>
    </row>
    <row r="305" spans="1:13" ht="15" customHeight="1" x14ac:dyDescent="0.15">
      <c r="A305" s="2">
        <v>0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54816.32</v>
      </c>
      <c r="H305" s="2">
        <v>0</v>
      </c>
      <c r="I305" s="2">
        <v>0</v>
      </c>
      <c r="J305" s="2">
        <v>134300</v>
      </c>
      <c r="K305" s="2">
        <v>0</v>
      </c>
      <c r="L305" s="2">
        <v>79483.679999999993</v>
      </c>
      <c r="M305" s="1" t="s">
        <v>316</v>
      </c>
    </row>
    <row r="306" spans="1:13" ht="15" customHeight="1" x14ac:dyDescent="0.15">
      <c r="A306" s="2">
        <v>0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79412.08</v>
      </c>
      <c r="L306" s="2">
        <v>79412.08</v>
      </c>
      <c r="M306" s="1" t="s">
        <v>317</v>
      </c>
    </row>
    <row r="307" spans="1:13" ht="15" customHeight="1" x14ac:dyDescent="0.15">
      <c r="A307" s="2">
        <v>0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28600</v>
      </c>
      <c r="H307" s="2">
        <v>28000</v>
      </c>
      <c r="I307" s="2">
        <v>0</v>
      </c>
      <c r="J307" s="2">
        <v>135950</v>
      </c>
      <c r="K307" s="2">
        <v>0</v>
      </c>
      <c r="L307" s="2">
        <v>79350</v>
      </c>
      <c r="M307" s="1" t="s">
        <v>318</v>
      </c>
    </row>
    <row r="308" spans="1:13" ht="15" customHeight="1" x14ac:dyDescent="0.15">
      <c r="A308" s="2">
        <v>0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78703</v>
      </c>
      <c r="L308" s="2">
        <v>78703</v>
      </c>
      <c r="M308" s="1" t="s">
        <v>319</v>
      </c>
    </row>
    <row r="309" spans="1:13" ht="15" customHeight="1" x14ac:dyDescent="0.15">
      <c r="A309" s="2">
        <v>0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78585.33</v>
      </c>
      <c r="L309" s="2">
        <v>78585.33</v>
      </c>
      <c r="M309" s="1" t="s">
        <v>320</v>
      </c>
    </row>
    <row r="310" spans="1:13" ht="15" customHeight="1" x14ac:dyDescent="0.15">
      <c r="A310" s="2">
        <v>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164250</v>
      </c>
      <c r="I310" s="2">
        <v>0</v>
      </c>
      <c r="J310" s="2">
        <v>106250</v>
      </c>
      <c r="K310" s="2">
        <v>135071.26</v>
      </c>
      <c r="L310" s="2">
        <v>77071.259999999995</v>
      </c>
      <c r="M310" s="1" t="s">
        <v>321</v>
      </c>
    </row>
    <row r="311" spans="1:13" ht="15" customHeight="1" x14ac:dyDescent="0.15">
      <c r="A311" s="2">
        <v>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73498.990000000005</v>
      </c>
      <c r="L311" s="2">
        <v>73498.990000000005</v>
      </c>
      <c r="M311" s="1" t="s">
        <v>322</v>
      </c>
    </row>
    <row r="312" spans="1:13" ht="15" customHeight="1" x14ac:dyDescent="0.15">
      <c r="A312" s="2">
        <v>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72987.47</v>
      </c>
      <c r="L312" s="2">
        <v>72987.47</v>
      </c>
      <c r="M312" s="1" t="s">
        <v>323</v>
      </c>
    </row>
    <row r="313" spans="1:13" ht="15" customHeight="1" x14ac:dyDescent="0.15">
      <c r="A313" s="2">
        <v>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71972.25</v>
      </c>
      <c r="L313" s="2">
        <v>71972.25</v>
      </c>
      <c r="M313" s="1" t="s">
        <v>324</v>
      </c>
    </row>
    <row r="314" spans="1:13" ht="15" customHeight="1" x14ac:dyDescent="0.15">
      <c r="A314" s="2">
        <v>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535500</v>
      </c>
      <c r="K314" s="2">
        <v>-466091.38</v>
      </c>
      <c r="L314" s="2">
        <v>69408.62</v>
      </c>
      <c r="M314" s="1" t="s">
        <v>325</v>
      </c>
    </row>
    <row r="315" spans="1:13" ht="15" customHeight="1" x14ac:dyDescent="0.15">
      <c r="A315" s="2">
        <v>0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68342.86</v>
      </c>
      <c r="L315" s="2">
        <v>68342.86</v>
      </c>
      <c r="M315" s="1" t="s">
        <v>326</v>
      </c>
    </row>
    <row r="316" spans="1:13" ht="15" customHeight="1" x14ac:dyDescent="0.15">
      <c r="A316" s="2">
        <v>0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67499</v>
      </c>
      <c r="L316" s="2">
        <v>67499</v>
      </c>
      <c r="M316" s="1" t="s">
        <v>327</v>
      </c>
    </row>
    <row r="317" spans="1:13" ht="15" customHeight="1" x14ac:dyDescent="0.15">
      <c r="A317" s="2">
        <v>0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66975.789999999994</v>
      </c>
      <c r="L317" s="2">
        <v>66975.789999999994</v>
      </c>
      <c r="M317" s="1" t="s">
        <v>328</v>
      </c>
    </row>
    <row r="318" spans="1:13" ht="15" customHeight="1" x14ac:dyDescent="0.15">
      <c r="A318" s="2">
        <v>0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120000</v>
      </c>
      <c r="I318" s="2">
        <v>0</v>
      </c>
      <c r="J318" s="2">
        <v>0</v>
      </c>
      <c r="K318" s="2">
        <v>184250</v>
      </c>
      <c r="L318" s="2">
        <v>64250</v>
      </c>
      <c r="M318" s="1" t="s">
        <v>329</v>
      </c>
    </row>
    <row r="319" spans="1:13" ht="15" customHeight="1" x14ac:dyDescent="0.15">
      <c r="A319" s="2">
        <v>0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62736</v>
      </c>
      <c r="L319" s="2">
        <v>62736</v>
      </c>
      <c r="M319" s="1" t="s">
        <v>330</v>
      </c>
    </row>
    <row r="320" spans="1:13" ht="15" customHeight="1" x14ac:dyDescent="0.15">
      <c r="A320" s="2">
        <v>0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60500</v>
      </c>
      <c r="L320" s="2">
        <v>60500</v>
      </c>
      <c r="M320" s="1" t="s">
        <v>331</v>
      </c>
    </row>
    <row r="321" spans="1:13" ht="15" customHeight="1" x14ac:dyDescent="0.15">
      <c r="A321" s="2">
        <v>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59810</v>
      </c>
      <c r="L321" s="2">
        <v>59810</v>
      </c>
      <c r="M321" s="1" t="s">
        <v>332</v>
      </c>
    </row>
    <row r="322" spans="1:13" ht="15" customHeight="1" x14ac:dyDescent="0.15">
      <c r="A322" s="2">
        <v>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20000</v>
      </c>
      <c r="I322" s="2">
        <v>0</v>
      </c>
      <c r="J322" s="2">
        <v>0</v>
      </c>
      <c r="K322" s="2">
        <v>75681.66</v>
      </c>
      <c r="L322" s="2">
        <v>55681.66</v>
      </c>
      <c r="M322" s="1" t="s">
        <v>333</v>
      </c>
    </row>
    <row r="323" spans="1:13" ht="15" customHeight="1" x14ac:dyDescent="0.15">
      <c r="A323" s="2">
        <v>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54113.66</v>
      </c>
      <c r="L323" s="2">
        <v>54113.66</v>
      </c>
      <c r="M323" s="1" t="s">
        <v>334</v>
      </c>
    </row>
    <row r="324" spans="1:13" ht="15" customHeight="1" x14ac:dyDescent="0.15">
      <c r="A324" s="2">
        <v>0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53599.94</v>
      </c>
      <c r="L324" s="2">
        <v>53599.94</v>
      </c>
      <c r="M324" s="1" t="s">
        <v>335</v>
      </c>
    </row>
    <row r="325" spans="1:13" ht="15" customHeight="1" x14ac:dyDescent="0.15">
      <c r="A325" s="2">
        <v>0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53195</v>
      </c>
      <c r="L325" s="2">
        <v>53195</v>
      </c>
      <c r="M325" s="1" t="s">
        <v>336</v>
      </c>
    </row>
    <row r="326" spans="1:13" ht="15" customHeight="1" x14ac:dyDescent="0.15">
      <c r="A326" s="2">
        <v>0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48391</v>
      </c>
      <c r="L326" s="2">
        <v>48391</v>
      </c>
      <c r="M326" s="1" t="s">
        <v>337</v>
      </c>
    </row>
    <row r="327" spans="1:13" ht="15" customHeight="1" x14ac:dyDescent="0.15">
      <c r="A327" s="2">
        <v>0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46286.57</v>
      </c>
      <c r="L327" s="2">
        <v>46286.57</v>
      </c>
      <c r="M327" s="1" t="s">
        <v>338</v>
      </c>
    </row>
    <row r="328" spans="1:13" ht="15" customHeight="1" x14ac:dyDescent="0.15">
      <c r="A328" s="2">
        <v>0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44484.200000000004</v>
      </c>
      <c r="L328" s="2">
        <v>44484.200000000004</v>
      </c>
      <c r="M328" s="1" t="s">
        <v>339</v>
      </c>
    </row>
    <row r="329" spans="1:13" ht="15" customHeight="1" x14ac:dyDescent="0.15">
      <c r="A329" s="2">
        <v>0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44460</v>
      </c>
      <c r="L329" s="2">
        <v>44460</v>
      </c>
      <c r="M329" s="1" t="s">
        <v>340</v>
      </c>
    </row>
    <row r="330" spans="1:13" ht="15" customHeight="1" x14ac:dyDescent="0.15">
      <c r="A330" s="2">
        <v>0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44100.19</v>
      </c>
      <c r="L330" s="2">
        <v>44100.19</v>
      </c>
      <c r="M330" s="1" t="s">
        <v>341</v>
      </c>
    </row>
    <row r="331" spans="1:13" ht="15" customHeight="1" x14ac:dyDescent="0.15">
      <c r="A331" s="2">
        <v>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43300</v>
      </c>
      <c r="L331" s="2">
        <v>43300</v>
      </c>
      <c r="M331" s="1" t="s">
        <v>342</v>
      </c>
    </row>
    <row r="332" spans="1:13" ht="15" customHeight="1" x14ac:dyDescent="0.15">
      <c r="A332" s="2">
        <v>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39999.480000000003</v>
      </c>
      <c r="L332" s="2">
        <v>39999.480000000003</v>
      </c>
      <c r="M332" s="1" t="s">
        <v>343</v>
      </c>
    </row>
    <row r="333" spans="1:13" ht="15" customHeight="1" x14ac:dyDescent="0.15">
      <c r="A333" s="2">
        <v>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39550</v>
      </c>
      <c r="L333" s="2">
        <v>39550</v>
      </c>
      <c r="M333" s="1" t="s">
        <v>344</v>
      </c>
    </row>
    <row r="334" spans="1:13" ht="15" customHeight="1" x14ac:dyDescent="0.15">
      <c r="A334" s="2">
        <v>0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39309.370000000003</v>
      </c>
      <c r="L334" s="2">
        <v>39309.370000000003</v>
      </c>
      <c r="M334" s="1" t="s">
        <v>345</v>
      </c>
    </row>
    <row r="335" spans="1:13" ht="15" customHeight="1" x14ac:dyDescent="0.15">
      <c r="A335" s="2">
        <v>0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39291</v>
      </c>
      <c r="L335" s="2">
        <v>39291</v>
      </c>
      <c r="M335" s="1" t="s">
        <v>346</v>
      </c>
    </row>
    <row r="336" spans="1:13" ht="15" customHeight="1" x14ac:dyDescent="0.15">
      <c r="A336" s="2">
        <v>0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693250</v>
      </c>
      <c r="I336" s="2">
        <v>0</v>
      </c>
      <c r="J336" s="2">
        <v>408000</v>
      </c>
      <c r="K336" s="2">
        <v>323984.74</v>
      </c>
      <c r="L336" s="2">
        <v>38734.74</v>
      </c>
      <c r="M336" s="1" t="s">
        <v>347</v>
      </c>
    </row>
    <row r="337" spans="1:13" ht="15" customHeight="1" x14ac:dyDescent="0.15">
      <c r="A337" s="2">
        <v>0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36390.06</v>
      </c>
      <c r="L337" s="2">
        <v>36390.06</v>
      </c>
      <c r="M337" s="1" t="s">
        <v>348</v>
      </c>
    </row>
    <row r="338" spans="1:13" ht="15" customHeight="1" x14ac:dyDescent="0.15">
      <c r="A338" s="2">
        <v>0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20000</v>
      </c>
      <c r="I338" s="2">
        <v>0</v>
      </c>
      <c r="J338" s="2">
        <v>0</v>
      </c>
      <c r="K338" s="2">
        <v>55636.15</v>
      </c>
      <c r="L338" s="2">
        <v>35636.15</v>
      </c>
      <c r="M338" s="1" t="s">
        <v>349</v>
      </c>
    </row>
    <row r="339" spans="1:13" ht="15" customHeight="1" x14ac:dyDescent="0.15">
      <c r="A339" s="2">
        <v>0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35299.089999999997</v>
      </c>
      <c r="L339" s="2">
        <v>35299.089999999997</v>
      </c>
      <c r="M339" s="1" t="s">
        <v>350</v>
      </c>
    </row>
    <row r="340" spans="1:13" ht="15" customHeight="1" x14ac:dyDescent="0.15">
      <c r="A340" s="2">
        <v>0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34545.519999999997</v>
      </c>
      <c r="L340" s="2">
        <v>34545.519999999997</v>
      </c>
      <c r="M340" s="1" t="s">
        <v>351</v>
      </c>
    </row>
    <row r="341" spans="1:13" ht="15" customHeight="1" x14ac:dyDescent="0.15">
      <c r="A341" s="2">
        <v>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32998</v>
      </c>
      <c r="L341" s="2">
        <v>32998</v>
      </c>
      <c r="M341" s="1" t="s">
        <v>352</v>
      </c>
    </row>
    <row r="342" spans="1:13" ht="15" customHeight="1" x14ac:dyDescent="0.15">
      <c r="A342" s="2">
        <v>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31244.670000000002</v>
      </c>
      <c r="L342" s="2">
        <v>31244.670000000002</v>
      </c>
      <c r="M342" s="1" t="s">
        <v>353</v>
      </c>
    </row>
    <row r="343" spans="1:13" ht="15" customHeight="1" x14ac:dyDescent="0.15">
      <c r="A343" s="2">
        <v>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30309.23</v>
      </c>
      <c r="L343" s="2">
        <v>30309.23</v>
      </c>
      <c r="M343" s="1" t="s">
        <v>354</v>
      </c>
    </row>
    <row r="344" spans="1:13" ht="15" customHeight="1" x14ac:dyDescent="0.15">
      <c r="A344" s="2">
        <v>0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30298</v>
      </c>
      <c r="L344" s="2">
        <v>30298</v>
      </c>
      <c r="M344" s="1" t="s">
        <v>355</v>
      </c>
    </row>
    <row r="345" spans="1:13" ht="15" customHeight="1" x14ac:dyDescent="0.15">
      <c r="A345" s="2">
        <v>0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28942.75</v>
      </c>
      <c r="L345" s="2">
        <v>28942.75</v>
      </c>
      <c r="M345" s="1" t="s">
        <v>356</v>
      </c>
    </row>
    <row r="346" spans="1:13" ht="15" customHeight="1" x14ac:dyDescent="0.15">
      <c r="A346" s="2">
        <v>0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27356.98</v>
      </c>
      <c r="L346" s="2">
        <v>27356.98</v>
      </c>
      <c r="M346" s="1" t="s">
        <v>357</v>
      </c>
    </row>
    <row r="347" spans="1:13" ht="15" customHeight="1" x14ac:dyDescent="0.15">
      <c r="A347" s="2">
        <v>0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26264</v>
      </c>
      <c r="L347" s="2">
        <v>26264</v>
      </c>
      <c r="M347" s="1" t="s">
        <v>358</v>
      </c>
    </row>
    <row r="348" spans="1:13" ht="15" customHeight="1" x14ac:dyDescent="0.15">
      <c r="A348" s="2">
        <v>0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25621.23</v>
      </c>
      <c r="L348" s="2">
        <v>25621.23</v>
      </c>
      <c r="M348" s="1" t="s">
        <v>359</v>
      </c>
    </row>
    <row r="349" spans="1:13" ht="15" customHeight="1" x14ac:dyDescent="0.15">
      <c r="A349" s="2">
        <v>0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23333.07</v>
      </c>
      <c r="L349" s="2">
        <v>23333.07</v>
      </c>
      <c r="M349" s="1" t="s">
        <v>360</v>
      </c>
    </row>
    <row r="350" spans="1:13" ht="15" customHeight="1" x14ac:dyDescent="0.15">
      <c r="A350" s="2">
        <v>0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450000</v>
      </c>
      <c r="I350" s="2">
        <v>0</v>
      </c>
      <c r="J350" s="2">
        <v>471335</v>
      </c>
      <c r="K350" s="2">
        <v>-26.46</v>
      </c>
      <c r="L350" s="2">
        <v>21308.54</v>
      </c>
      <c r="M350" s="1" t="s">
        <v>361</v>
      </c>
    </row>
    <row r="351" spans="1:13" ht="15" customHeight="1" x14ac:dyDescent="0.15">
      <c r="A351" s="2">
        <v>0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21294</v>
      </c>
      <c r="L351" s="2">
        <v>21294</v>
      </c>
      <c r="M351" s="1" t="s">
        <v>362</v>
      </c>
    </row>
    <row r="352" spans="1:13" ht="15" customHeight="1" x14ac:dyDescent="0.15">
      <c r="A352" s="2">
        <v>0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20330</v>
      </c>
      <c r="L352" s="2">
        <v>20330</v>
      </c>
      <c r="M352" s="1" t="s">
        <v>363</v>
      </c>
    </row>
    <row r="353" spans="1:13" ht="15" customHeight="1" x14ac:dyDescent="0.15">
      <c r="A353" s="2">
        <v>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15000</v>
      </c>
      <c r="I353" s="2">
        <v>0</v>
      </c>
      <c r="J353" s="2">
        <v>0</v>
      </c>
      <c r="K353" s="2">
        <v>33000</v>
      </c>
      <c r="L353" s="2">
        <v>18000</v>
      </c>
      <c r="M353" s="1" t="s">
        <v>364</v>
      </c>
    </row>
    <row r="354" spans="1:13" ht="15" customHeight="1" x14ac:dyDescent="0.15">
      <c r="A354" s="2">
        <v>0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17130</v>
      </c>
      <c r="L354" s="2">
        <v>17130</v>
      </c>
      <c r="M354" s="1" t="s">
        <v>365</v>
      </c>
    </row>
    <row r="355" spans="1:13" ht="15" customHeight="1" x14ac:dyDescent="0.15">
      <c r="A355" s="2">
        <v>0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17113.64</v>
      </c>
      <c r="L355" s="2">
        <v>17113.64</v>
      </c>
      <c r="M355" s="1" t="s">
        <v>366</v>
      </c>
    </row>
    <row r="356" spans="1:13" ht="15" customHeight="1" x14ac:dyDescent="0.15">
      <c r="A356" s="2">
        <v>0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16464.490000000002</v>
      </c>
      <c r="L356" s="2">
        <v>16464.490000000002</v>
      </c>
      <c r="M356" s="1" t="s">
        <v>367</v>
      </c>
    </row>
    <row r="357" spans="1:13" ht="15" customHeight="1" x14ac:dyDescent="0.15">
      <c r="A357" s="2">
        <v>0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16345</v>
      </c>
      <c r="L357" s="2">
        <v>16345</v>
      </c>
      <c r="M357" s="1" t="s">
        <v>368</v>
      </c>
    </row>
    <row r="358" spans="1:13" ht="15" customHeight="1" x14ac:dyDescent="0.15">
      <c r="A358" s="2">
        <v>0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15457.6</v>
      </c>
      <c r="L358" s="2">
        <v>15457.6</v>
      </c>
      <c r="M358" s="1" t="s">
        <v>369</v>
      </c>
    </row>
    <row r="359" spans="1:13" ht="15" customHeight="1" x14ac:dyDescent="0.15">
      <c r="A359" s="2">
        <v>0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13237</v>
      </c>
      <c r="L359" s="2">
        <v>13237</v>
      </c>
      <c r="M359" s="1" t="s">
        <v>370</v>
      </c>
    </row>
    <row r="360" spans="1:13" ht="15" customHeight="1" x14ac:dyDescent="0.15">
      <c r="A360" s="2">
        <v>0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13095</v>
      </c>
      <c r="L360" s="2">
        <v>13095</v>
      </c>
      <c r="M360" s="1" t="s">
        <v>371</v>
      </c>
    </row>
    <row r="361" spans="1:13" ht="15" customHeight="1" x14ac:dyDescent="0.15">
      <c r="A361" s="2">
        <v>0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12619</v>
      </c>
      <c r="L361" s="2">
        <v>12619</v>
      </c>
      <c r="M361" s="1" t="s">
        <v>372</v>
      </c>
    </row>
    <row r="362" spans="1:13" ht="15" customHeight="1" x14ac:dyDescent="0.15">
      <c r="A362" s="2">
        <v>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12169.53</v>
      </c>
      <c r="L362" s="2">
        <v>12169.53</v>
      </c>
      <c r="M362" s="1" t="s">
        <v>373</v>
      </c>
    </row>
    <row r="363" spans="1:13" ht="15" customHeight="1" x14ac:dyDescent="0.15">
      <c r="A363" s="2">
        <v>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12064.4</v>
      </c>
      <c r="L363" s="2">
        <v>12064.4</v>
      </c>
      <c r="M363" s="1" t="s">
        <v>374</v>
      </c>
    </row>
    <row r="364" spans="1:13" ht="15" customHeight="1" x14ac:dyDescent="0.15">
      <c r="A364" s="2">
        <v>0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11781</v>
      </c>
      <c r="L364" s="2">
        <v>11781</v>
      </c>
      <c r="M364" s="1" t="s">
        <v>375</v>
      </c>
    </row>
    <row r="365" spans="1:13" ht="15" customHeight="1" x14ac:dyDescent="0.15">
      <c r="A365" s="2">
        <v>0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11650</v>
      </c>
      <c r="L365" s="2">
        <v>11650</v>
      </c>
      <c r="M365" s="1" t="s">
        <v>376</v>
      </c>
    </row>
    <row r="366" spans="1:13" ht="15" customHeight="1" x14ac:dyDescent="0.15">
      <c r="A366" s="2">
        <v>0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9721.64</v>
      </c>
      <c r="L366" s="2">
        <v>9721.64</v>
      </c>
      <c r="M366" s="1" t="s">
        <v>377</v>
      </c>
    </row>
    <row r="367" spans="1:13" ht="15" customHeight="1" x14ac:dyDescent="0.15">
      <c r="A367" s="2">
        <v>0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9450</v>
      </c>
      <c r="L367" s="2">
        <v>9450</v>
      </c>
      <c r="M367" s="1" t="s">
        <v>378</v>
      </c>
    </row>
    <row r="368" spans="1:13" ht="15" customHeight="1" x14ac:dyDescent="0.15">
      <c r="A368" s="2">
        <v>0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9402</v>
      </c>
      <c r="L368" s="2">
        <v>9402</v>
      </c>
      <c r="M368" s="1" t="s">
        <v>379</v>
      </c>
    </row>
    <row r="369" spans="1:13" ht="15" customHeight="1" x14ac:dyDescent="0.15">
      <c r="A369" s="2">
        <v>0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7320</v>
      </c>
      <c r="L369" s="2">
        <v>7320</v>
      </c>
      <c r="M369" s="1" t="s">
        <v>380</v>
      </c>
    </row>
    <row r="370" spans="1:13" ht="15" customHeight="1" x14ac:dyDescent="0.15">
      <c r="A370" s="2">
        <v>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6708.54</v>
      </c>
      <c r="L370" s="2">
        <v>6708.54</v>
      </c>
      <c r="M370" s="1" t="s">
        <v>381</v>
      </c>
    </row>
    <row r="371" spans="1:13" ht="15" customHeight="1" x14ac:dyDescent="0.15">
      <c r="A371" s="2">
        <v>0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5639.8</v>
      </c>
      <c r="L371" s="2">
        <v>5639.8</v>
      </c>
      <c r="M371" s="1" t="s">
        <v>382</v>
      </c>
    </row>
    <row r="372" spans="1:13" ht="15" customHeight="1" x14ac:dyDescent="0.15">
      <c r="A372" s="2">
        <v>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5300</v>
      </c>
      <c r="L372" s="2">
        <v>5300</v>
      </c>
      <c r="M372" s="1" t="s">
        <v>383</v>
      </c>
    </row>
    <row r="373" spans="1:13" ht="15" customHeight="1" x14ac:dyDescent="0.15">
      <c r="A373" s="2">
        <v>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5200</v>
      </c>
      <c r="L373" s="2">
        <v>5200</v>
      </c>
      <c r="M373" s="1" t="s">
        <v>384</v>
      </c>
    </row>
    <row r="374" spans="1:13" ht="15" customHeight="1" x14ac:dyDescent="0.15">
      <c r="A374" s="2">
        <v>0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4847</v>
      </c>
      <c r="L374" s="2">
        <v>4847</v>
      </c>
      <c r="M374" s="1" t="s">
        <v>385</v>
      </c>
    </row>
    <row r="375" spans="1:13" ht="15" customHeight="1" x14ac:dyDescent="0.15">
      <c r="A375" s="2">
        <v>0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4096.55</v>
      </c>
      <c r="L375" s="2">
        <v>4096.55</v>
      </c>
      <c r="M375" s="1" t="s">
        <v>386</v>
      </c>
    </row>
    <row r="376" spans="1:13" ht="15" customHeight="1" x14ac:dyDescent="0.15">
      <c r="A376" s="2">
        <v>0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127000</v>
      </c>
      <c r="I376" s="2">
        <v>0</v>
      </c>
      <c r="J376" s="2">
        <v>127000</v>
      </c>
      <c r="K376" s="2">
        <v>1700.7</v>
      </c>
      <c r="L376" s="2">
        <v>1700.7</v>
      </c>
      <c r="M376" s="1" t="s">
        <v>387</v>
      </c>
    </row>
    <row r="377" spans="1:13" ht="15" customHeight="1" x14ac:dyDescent="0.15">
      <c r="A377" s="2">
        <v>0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1500.03</v>
      </c>
      <c r="L377" s="2">
        <v>1500.03</v>
      </c>
      <c r="M377" s="1" t="s">
        <v>388</v>
      </c>
    </row>
    <row r="378" spans="1:13" ht="15" customHeight="1" x14ac:dyDescent="0.15">
      <c r="A378" s="2">
        <v>0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911.72</v>
      </c>
      <c r="L378" s="2">
        <v>911.72</v>
      </c>
      <c r="M378" s="1" t="s">
        <v>389</v>
      </c>
    </row>
    <row r="379" spans="1:13" ht="15" customHeight="1" x14ac:dyDescent="0.15">
      <c r="A379" s="2">
        <v>0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500.25</v>
      </c>
      <c r="L379" s="2">
        <v>500.25</v>
      </c>
      <c r="M379" s="1" t="s">
        <v>390</v>
      </c>
    </row>
    <row r="380" spans="1:13" ht="15" customHeight="1" x14ac:dyDescent="0.15">
      <c r="A380" s="2">
        <v>0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480</v>
      </c>
      <c r="L380" s="2">
        <v>480</v>
      </c>
      <c r="M380" s="1" t="s">
        <v>391</v>
      </c>
    </row>
    <row r="381" spans="1:13" ht="15" customHeight="1" x14ac:dyDescent="0.15">
      <c r="A381" s="2">
        <v>0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340.69</v>
      </c>
      <c r="L381" s="2">
        <v>340.69</v>
      </c>
      <c r="M381" s="1" t="s">
        <v>392</v>
      </c>
    </row>
    <row r="382" spans="1:13" ht="15" customHeight="1" x14ac:dyDescent="0.15">
      <c r="A382" s="2">
        <v>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278.45999999999998</v>
      </c>
      <c r="L382" s="2">
        <v>278.45999999999998</v>
      </c>
      <c r="M382" s="1" t="s">
        <v>393</v>
      </c>
    </row>
    <row r="383" spans="1:13" ht="15" customHeight="1" x14ac:dyDescent="0.15">
      <c r="A383" s="2">
        <v>19635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41920</v>
      </c>
      <c r="I383" s="2">
        <v>0</v>
      </c>
      <c r="J383" s="2">
        <v>81202</v>
      </c>
      <c r="K383" s="2">
        <v>-39080</v>
      </c>
      <c r="L383" s="2">
        <v>202</v>
      </c>
      <c r="M383" s="1" t="s">
        <v>394</v>
      </c>
    </row>
    <row r="384" spans="1:13" ht="15" customHeight="1" x14ac:dyDescent="0.15">
      <c r="A384" s="2">
        <v>0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150.71</v>
      </c>
      <c r="L384" s="2">
        <v>150.71</v>
      </c>
      <c r="M384" s="1" t="s">
        <v>395</v>
      </c>
    </row>
    <row r="385" spans="1:13" ht="15" customHeight="1" x14ac:dyDescent="0.15">
      <c r="A385" s="2">
        <v>0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85.15</v>
      </c>
      <c r="L385" s="2">
        <v>85.15</v>
      </c>
      <c r="M385" s="1" t="s">
        <v>396</v>
      </c>
    </row>
    <row r="386" spans="1:13" ht="15" customHeight="1" x14ac:dyDescent="0.15">
      <c r="A386" s="2">
        <v>0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56.65</v>
      </c>
      <c r="L386" s="2">
        <v>56.65</v>
      </c>
      <c r="M386" s="1" t="s">
        <v>397</v>
      </c>
    </row>
    <row r="387" spans="1:13" ht="15" customHeight="1" x14ac:dyDescent="0.15">
      <c r="A387" s="2">
        <v>0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20</v>
      </c>
      <c r="L387" s="2">
        <v>20</v>
      </c>
      <c r="M387" s="1" t="s">
        <v>398</v>
      </c>
    </row>
    <row r="388" spans="1:13" ht="15" customHeight="1" x14ac:dyDescent="0.15">
      <c r="A388" s="2">
        <v>0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6850</v>
      </c>
      <c r="I388" s="2">
        <v>0</v>
      </c>
      <c r="J388" s="2">
        <v>0</v>
      </c>
      <c r="K388" s="2">
        <v>6860.28</v>
      </c>
      <c r="L388" s="2">
        <v>10.28</v>
      </c>
      <c r="M388" s="1" t="s">
        <v>399</v>
      </c>
    </row>
    <row r="389" spans="1:13" ht="15" customHeight="1" x14ac:dyDescent="0.15">
      <c r="A389" s="2">
        <v>0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7.63</v>
      </c>
      <c r="L389" s="2">
        <v>7.63</v>
      </c>
      <c r="M389" s="1" t="s">
        <v>400</v>
      </c>
    </row>
    <row r="390" spans="1:13" ht="15" customHeight="1" x14ac:dyDescent="0.15">
      <c r="A390" s="2">
        <v>0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0.79</v>
      </c>
      <c r="L390" s="2">
        <v>0.79</v>
      </c>
      <c r="M390" s="1" t="s">
        <v>401</v>
      </c>
    </row>
    <row r="391" spans="1:13" ht="15" customHeight="1" x14ac:dyDescent="0.15">
      <c r="A391" s="2">
        <v>0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0.70000000000000007</v>
      </c>
      <c r="L391" s="2">
        <v>0.70000000000000007</v>
      </c>
      <c r="M391" s="1" t="s">
        <v>402</v>
      </c>
    </row>
    <row r="392" spans="1:13" ht="15" customHeight="1" x14ac:dyDescent="0.15">
      <c r="A392" s="2">
        <v>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0.59</v>
      </c>
      <c r="L392" s="2">
        <v>0.59</v>
      </c>
      <c r="M392" s="1" t="s">
        <v>403</v>
      </c>
    </row>
    <row r="393" spans="1:13" ht="15" customHeight="1" x14ac:dyDescent="0.15">
      <c r="A393" s="2">
        <v>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0.56999999999999995</v>
      </c>
      <c r="L393" s="2">
        <v>0.56999999999999995</v>
      </c>
      <c r="M393" s="1" t="s">
        <v>404</v>
      </c>
    </row>
    <row r="394" spans="1:13" ht="15" customHeight="1" x14ac:dyDescent="0.15">
      <c r="A394" s="2">
        <v>0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0.48</v>
      </c>
      <c r="L394" s="2">
        <v>0.48</v>
      </c>
      <c r="M394" s="1" t="s">
        <v>405</v>
      </c>
    </row>
    <row r="395" spans="1:13" ht="15" customHeight="1" x14ac:dyDescent="0.15">
      <c r="A395" s="2">
        <v>0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0.42</v>
      </c>
      <c r="L395" s="2">
        <v>0.42</v>
      </c>
      <c r="M395" s="1" t="s">
        <v>406</v>
      </c>
    </row>
    <row r="396" spans="1:13" ht="15" customHeight="1" x14ac:dyDescent="0.15">
      <c r="A396" s="2">
        <v>0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0.36</v>
      </c>
      <c r="L396" s="2">
        <v>0.36</v>
      </c>
      <c r="M396" s="1" t="s">
        <v>407</v>
      </c>
    </row>
    <row r="397" spans="1:13" ht="15" customHeight="1" x14ac:dyDescent="0.15">
      <c r="A397" s="2">
        <v>0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0.27</v>
      </c>
      <c r="L397" s="2">
        <v>0.27</v>
      </c>
      <c r="M397" s="1" t="s">
        <v>408</v>
      </c>
    </row>
    <row r="398" spans="1:13" ht="15" customHeight="1" x14ac:dyDescent="0.15">
      <c r="A398" s="2">
        <v>0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680000</v>
      </c>
      <c r="I398" s="2">
        <v>0</v>
      </c>
      <c r="J398" s="2">
        <v>680000</v>
      </c>
      <c r="K398" s="2">
        <v>0.17</v>
      </c>
      <c r="L398" s="2">
        <v>0.17</v>
      </c>
      <c r="M398" s="1" t="s">
        <v>409</v>
      </c>
    </row>
    <row r="399" spans="1:13" ht="15" customHeight="1" x14ac:dyDescent="0.15">
      <c r="A399" s="2">
        <v>0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0.03</v>
      </c>
      <c r="L399" s="2">
        <v>0.03</v>
      </c>
      <c r="M399" s="1" t="s">
        <v>410</v>
      </c>
    </row>
    <row r="400" spans="1:13" ht="15" customHeight="1" x14ac:dyDescent="0.15">
      <c r="A400" s="2">
        <v>0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-0.23</v>
      </c>
      <c r="L400" s="2">
        <v>-0.23</v>
      </c>
      <c r="M400" s="1" t="s">
        <v>411</v>
      </c>
    </row>
    <row r="401" spans="1:13" ht="15" customHeight="1" x14ac:dyDescent="0.15">
      <c r="A401" s="2">
        <v>0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-0.28000000000000003</v>
      </c>
      <c r="L401" s="2">
        <v>-0.28000000000000003</v>
      </c>
      <c r="M401" s="1" t="s">
        <v>412</v>
      </c>
    </row>
    <row r="402" spans="1:13" ht="15" customHeight="1" x14ac:dyDescent="0.15">
      <c r="A402" s="2">
        <v>0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-0.28999999999999998</v>
      </c>
      <c r="L402" s="2">
        <v>-0.28999999999999998</v>
      </c>
      <c r="M402" s="1" t="s">
        <v>413</v>
      </c>
    </row>
    <row r="403" spans="1:13" ht="15" customHeight="1" x14ac:dyDescent="0.15">
      <c r="A403" s="2">
        <v>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0.1</v>
      </c>
      <c r="I403" s="2">
        <v>0</v>
      </c>
      <c r="J403" s="2">
        <v>0</v>
      </c>
      <c r="K403" s="2">
        <v>-0.25</v>
      </c>
      <c r="L403" s="2">
        <v>-0.35000000000000003</v>
      </c>
      <c r="M403" s="1" t="s">
        <v>414</v>
      </c>
    </row>
    <row r="404" spans="1:13" ht="15" customHeight="1" x14ac:dyDescent="0.15">
      <c r="A404" s="2">
        <v>0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-5</v>
      </c>
      <c r="L404" s="2">
        <v>-5</v>
      </c>
      <c r="M404" s="1" t="s">
        <v>415</v>
      </c>
    </row>
    <row r="405" spans="1:13" ht="15" customHeight="1" x14ac:dyDescent="0.15">
      <c r="A405" s="2">
        <v>0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-8</v>
      </c>
      <c r="L405" s="2">
        <v>-8</v>
      </c>
      <c r="M405" s="1" t="s">
        <v>416</v>
      </c>
    </row>
    <row r="406" spans="1:13" ht="15" customHeight="1" x14ac:dyDescent="0.15">
      <c r="A406" s="2">
        <v>0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-13</v>
      </c>
      <c r="L406" s="2">
        <v>-13</v>
      </c>
      <c r="M406" s="1" t="s">
        <v>417</v>
      </c>
    </row>
    <row r="407" spans="1:13" ht="15" customHeight="1" x14ac:dyDescent="0.15">
      <c r="A407" s="2">
        <v>0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-21.3</v>
      </c>
      <c r="L407" s="2">
        <v>-21.3</v>
      </c>
      <c r="M407" s="1" t="s">
        <v>418</v>
      </c>
    </row>
    <row r="408" spans="1:13" ht="15" customHeight="1" x14ac:dyDescent="0.15">
      <c r="A408" s="2">
        <v>0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-25</v>
      </c>
      <c r="L408" s="2">
        <v>-25</v>
      </c>
      <c r="M408" s="1" t="s">
        <v>419</v>
      </c>
    </row>
    <row r="409" spans="1:13" ht="15" customHeight="1" x14ac:dyDescent="0.15">
      <c r="A409" s="2">
        <v>0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-44.660000000000004</v>
      </c>
      <c r="L409" s="2">
        <v>-44.660000000000004</v>
      </c>
      <c r="M409" s="1" t="s">
        <v>420</v>
      </c>
    </row>
    <row r="410" spans="1:13" ht="15" customHeight="1" x14ac:dyDescent="0.15">
      <c r="A410" s="2">
        <v>0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-49</v>
      </c>
      <c r="L410" s="2">
        <v>-49</v>
      </c>
      <c r="M410" s="1" t="s">
        <v>421</v>
      </c>
    </row>
    <row r="411" spans="1:13" ht="15" customHeight="1" x14ac:dyDescent="0.15">
      <c r="A411" s="2">
        <v>0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-50</v>
      </c>
      <c r="L411" s="2">
        <v>-50</v>
      </c>
      <c r="M411" s="1" t="s">
        <v>422</v>
      </c>
    </row>
    <row r="412" spans="1:13" ht="15" customHeight="1" x14ac:dyDescent="0.15">
      <c r="A412" s="2">
        <v>0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-110</v>
      </c>
      <c r="L412" s="2">
        <v>-110</v>
      </c>
      <c r="M412" s="1" t="s">
        <v>423</v>
      </c>
    </row>
    <row r="413" spans="1:13" ht="15" customHeight="1" x14ac:dyDescent="0.15">
      <c r="A413" s="2">
        <v>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-123.5</v>
      </c>
      <c r="L413" s="2">
        <v>-123.5</v>
      </c>
      <c r="M413" s="1" t="s">
        <v>424</v>
      </c>
    </row>
    <row r="414" spans="1:13" ht="15" customHeight="1" x14ac:dyDescent="0.15">
      <c r="A414" s="2">
        <v>0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-177.24</v>
      </c>
      <c r="L414" s="2">
        <v>-177.24</v>
      </c>
      <c r="M414" s="1" t="s">
        <v>425</v>
      </c>
    </row>
    <row r="415" spans="1:13" ht="15" customHeight="1" x14ac:dyDescent="0.15">
      <c r="A415" s="2">
        <v>0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-219.97</v>
      </c>
      <c r="L415" s="2">
        <v>-219.97</v>
      </c>
      <c r="M415" s="1" t="s">
        <v>426</v>
      </c>
    </row>
    <row r="416" spans="1:13" ht="15" customHeight="1" x14ac:dyDescent="0.15">
      <c r="A416" s="2">
        <v>0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-370</v>
      </c>
      <c r="L416" s="2">
        <v>-370</v>
      </c>
      <c r="M416" s="1" t="s">
        <v>427</v>
      </c>
    </row>
    <row r="417" spans="1:13" ht="15" customHeight="1" x14ac:dyDescent="0.15">
      <c r="A417" s="2">
        <v>0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-400.25</v>
      </c>
      <c r="L417" s="2">
        <v>-400.25</v>
      </c>
      <c r="M417" s="1" t="s">
        <v>428</v>
      </c>
    </row>
    <row r="418" spans="1:13" ht="15" customHeight="1" x14ac:dyDescent="0.15">
      <c r="A418" s="2">
        <v>0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-443.44</v>
      </c>
      <c r="L418" s="2">
        <v>-443.44</v>
      </c>
      <c r="M418" s="1" t="s">
        <v>429</v>
      </c>
    </row>
    <row r="419" spans="1:13" ht="15" customHeight="1" x14ac:dyDescent="0.15">
      <c r="A419" s="2">
        <v>0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-525</v>
      </c>
      <c r="L419" s="2">
        <v>-525</v>
      </c>
      <c r="M419" s="1" t="s">
        <v>430</v>
      </c>
    </row>
    <row r="420" spans="1:13" ht="15" customHeight="1" x14ac:dyDescent="0.15">
      <c r="A420" s="2">
        <v>0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-657.48</v>
      </c>
      <c r="L420" s="2">
        <v>-657.48</v>
      </c>
      <c r="M420" s="1" t="s">
        <v>431</v>
      </c>
    </row>
    <row r="421" spans="1:13" ht="15" customHeight="1" x14ac:dyDescent="0.15">
      <c r="A421" s="2">
        <v>0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-709</v>
      </c>
      <c r="L421" s="2">
        <v>-709</v>
      </c>
      <c r="M421" s="1" t="s">
        <v>432</v>
      </c>
    </row>
    <row r="422" spans="1:13" ht="15" customHeight="1" x14ac:dyDescent="0.15">
      <c r="A422" s="2">
        <v>0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-783.19</v>
      </c>
      <c r="L422" s="2">
        <v>-783.19</v>
      </c>
      <c r="M422" s="1" t="s">
        <v>433</v>
      </c>
    </row>
    <row r="423" spans="1:13" ht="15" customHeight="1" x14ac:dyDescent="0.15">
      <c r="A423" s="2">
        <v>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-1105</v>
      </c>
      <c r="L423" s="2">
        <v>-1105</v>
      </c>
      <c r="M423" s="1" t="s">
        <v>434</v>
      </c>
    </row>
    <row r="424" spans="1:13" ht="15" customHeight="1" x14ac:dyDescent="0.15">
      <c r="A424" s="2">
        <v>0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-1268</v>
      </c>
      <c r="L424" s="2">
        <v>-1268</v>
      </c>
      <c r="M424" s="1" t="s">
        <v>435</v>
      </c>
    </row>
    <row r="425" spans="1:13" ht="15" customHeight="1" x14ac:dyDescent="0.15">
      <c r="A425" s="2">
        <v>0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-1694.18</v>
      </c>
      <c r="L425" s="2">
        <v>-1694.18</v>
      </c>
      <c r="M425" s="1" t="s">
        <v>436</v>
      </c>
    </row>
    <row r="426" spans="1:13" ht="15" customHeight="1" x14ac:dyDescent="0.15">
      <c r="A426" s="2">
        <v>0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-3000.01</v>
      </c>
      <c r="L426" s="2">
        <v>-3000.01</v>
      </c>
      <c r="M426" s="1" t="s">
        <v>437</v>
      </c>
    </row>
    <row r="427" spans="1:13" ht="15" customHeight="1" x14ac:dyDescent="0.15">
      <c r="A427" s="2">
        <v>0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-4960</v>
      </c>
      <c r="L427" s="2">
        <v>-4960</v>
      </c>
      <c r="M427" s="1" t="s">
        <v>438</v>
      </c>
    </row>
    <row r="428" spans="1:13" ht="15" customHeight="1" x14ac:dyDescent="0.15">
      <c r="A428" s="2">
        <v>0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-7736.76</v>
      </c>
      <c r="L428" s="2">
        <v>-7736.76</v>
      </c>
      <c r="M428" s="1" t="s">
        <v>439</v>
      </c>
    </row>
    <row r="429" spans="1:13" ht="15" customHeight="1" x14ac:dyDescent="0.15">
      <c r="A429" s="2">
        <v>0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-8556.69</v>
      </c>
      <c r="L429" s="2">
        <v>-8556.69</v>
      </c>
      <c r="M429" s="1" t="s">
        <v>440</v>
      </c>
    </row>
    <row r="430" spans="1:13" ht="15" customHeight="1" x14ac:dyDescent="0.15">
      <c r="A430" s="2">
        <v>0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-8658</v>
      </c>
      <c r="L430" s="2">
        <v>-8658</v>
      </c>
      <c r="M430" s="1" t="s">
        <v>441</v>
      </c>
    </row>
    <row r="431" spans="1:13" ht="15" customHeight="1" x14ac:dyDescent="0.15">
      <c r="A431" s="2">
        <v>0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-8830</v>
      </c>
      <c r="L431" s="2">
        <v>-8830</v>
      </c>
      <c r="M431" s="1" t="s">
        <v>442</v>
      </c>
    </row>
    <row r="432" spans="1:13" ht="15" customHeight="1" x14ac:dyDescent="0.15">
      <c r="A432" s="2">
        <v>0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-11072.62</v>
      </c>
      <c r="L432" s="2">
        <v>-11072.62</v>
      </c>
      <c r="M432" s="1" t="s">
        <v>443</v>
      </c>
    </row>
    <row r="433" spans="1:14" ht="15" customHeight="1" x14ac:dyDescent="0.15">
      <c r="A433" s="2">
        <v>0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-22470.04</v>
      </c>
      <c r="L433" s="2">
        <v>-22470.04</v>
      </c>
      <c r="M433" s="1" t="s">
        <v>444</v>
      </c>
    </row>
    <row r="434" spans="1:14" ht="15" customHeight="1" x14ac:dyDescent="0.15">
      <c r="A434" s="2">
        <v>0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-28947</v>
      </c>
      <c r="L434" s="2">
        <v>-28947</v>
      </c>
      <c r="M434" s="1" t="s">
        <v>445</v>
      </c>
    </row>
    <row r="435" spans="1:14" ht="15" customHeight="1" x14ac:dyDescent="0.15">
      <c r="A435" s="2">
        <v>0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-40379.440000000002</v>
      </c>
      <c r="L435" s="2">
        <v>-40379.440000000002</v>
      </c>
      <c r="M435" s="1" t="s">
        <v>446</v>
      </c>
    </row>
    <row r="436" spans="1:14" ht="15" customHeight="1" x14ac:dyDescent="0.15">
      <c r="A436" s="2">
        <v>0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-50798.12</v>
      </c>
      <c r="L436" s="2">
        <v>-50798.12</v>
      </c>
      <c r="M436" s="1" t="s">
        <v>447</v>
      </c>
    </row>
    <row r="437" spans="1:14" ht="15" customHeight="1" x14ac:dyDescent="0.15">
      <c r="A437" s="2">
        <v>0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-79428</v>
      </c>
      <c r="L437" s="2">
        <v>-79428</v>
      </c>
      <c r="M437" s="1" t="s">
        <v>448</v>
      </c>
    </row>
    <row r="438" spans="1:14" ht="15" customHeight="1" x14ac:dyDescent="0.15">
      <c r="A438" s="2">
        <v>0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-146809.89000000001</v>
      </c>
      <c r="L438" s="2">
        <v>-146809.89000000001</v>
      </c>
      <c r="M438" s="1" t="s">
        <v>449</v>
      </c>
    </row>
    <row r="439" spans="1:14" ht="15" customHeight="1" x14ac:dyDescent="0.15">
      <c r="A439" s="2">
        <v>7561510</v>
      </c>
      <c r="B439" s="2">
        <v>0</v>
      </c>
      <c r="C439" s="2">
        <v>738936</v>
      </c>
      <c r="D439" s="2">
        <v>401035</v>
      </c>
      <c r="E439" s="2">
        <v>9838929</v>
      </c>
      <c r="F439" s="2">
        <v>0</v>
      </c>
      <c r="G439" s="2">
        <v>48507500.700000003</v>
      </c>
      <c r="H439" s="2">
        <v>258339444.09999999</v>
      </c>
      <c r="I439" s="2">
        <v>0</v>
      </c>
      <c r="J439" s="2">
        <v>444694931</v>
      </c>
      <c r="K439" s="2">
        <v>346502942.72000003</v>
      </c>
      <c r="L439" s="2">
        <v>493049886.92000002</v>
      </c>
      <c r="M439" s="1" t="s">
        <v>450</v>
      </c>
      <c r="N439" s="1" t="s">
        <v>451</v>
      </c>
    </row>
    <row r="440" spans="1:14" ht="15" customHeight="1" x14ac:dyDescent="0.15">
      <c r="A440" s="3">
        <v>436</v>
      </c>
      <c r="B440" s="1" t="s">
        <v>452</v>
      </c>
      <c r="C440" s="3">
        <v>436</v>
      </c>
      <c r="D440" s="1" t="s">
        <v>453</v>
      </c>
    </row>
    <row r="441" spans="1:14" ht="15.75" customHeight="1" x14ac:dyDescent="0.15"/>
    <row r="442" spans="1:14" ht="15.75" customHeight="1" x14ac:dyDescent="0.15"/>
    <row r="443" spans="1:14" ht="15.75" customHeight="1" x14ac:dyDescent="0.15"/>
    <row r="444" spans="1:14" ht="15.75" customHeight="1" x14ac:dyDescent="0.15"/>
    <row r="445" spans="1:14" ht="15.75" customHeight="1" x14ac:dyDescent="0.15"/>
    <row r="446" spans="1:14" ht="15.75" customHeight="1" x14ac:dyDescent="0.15"/>
    <row r="447" spans="1:14" ht="15.75" customHeight="1" x14ac:dyDescent="0.15"/>
    <row r="448" spans="1:14" ht="15.75" customHeight="1" x14ac:dyDescent="0.15"/>
    <row r="449" spans="5:5" ht="15.75" customHeight="1" x14ac:dyDescent="0.15"/>
    <row r="450" spans="5:5" ht="15.75" customHeight="1" x14ac:dyDescent="0.15"/>
    <row r="451" spans="5:5" ht="15.75" customHeight="1" x14ac:dyDescent="0.15"/>
    <row r="452" spans="5:5" ht="15" customHeight="1" x14ac:dyDescent="0.15">
      <c r="E452" s="4">
        <f ca="1">NOW()</f>
        <v>46258.859676273147</v>
      </c>
    </row>
  </sheetData>
  <pageMargins left="0" right="0" top="0" bottom="0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26F6-7F78-8B44-8955-6D91302E9855}">
  <sheetPr>
    <tabColor rgb="FFFFC000"/>
  </sheetPr>
  <dimension ref="A1:N1040"/>
  <sheetViews>
    <sheetView rightToLeft="1" tabSelected="1" zoomScale="85" zoomScaleNormal="85" workbookViewId="0">
      <pane ySplit="1" topLeftCell="A65" activePane="bottomLeft" state="frozen"/>
      <selection activeCell="F1" sqref="F1"/>
      <selection pane="bottomLeft" activeCell="B175" sqref="B175"/>
    </sheetView>
  </sheetViews>
  <sheetFormatPr defaultColWidth="14.29296875" defaultRowHeight="0" customHeight="1" zeroHeight="1" thickBottom="1" x14ac:dyDescent="0.2"/>
  <cols>
    <col min="1" max="1" width="7.4140625" customWidth="1"/>
    <col min="2" max="2" width="41.9375" style="38" customWidth="1"/>
    <col min="3" max="4" width="15.5078125" bestFit="1" customWidth="1"/>
    <col min="5" max="5" width="46.1171875" bestFit="1" customWidth="1"/>
    <col min="6" max="6" width="19.55078125" customWidth="1"/>
    <col min="7" max="7" width="21.171875" style="12" customWidth="1"/>
    <col min="8" max="8" width="23.328125" style="34" customWidth="1"/>
    <col min="9" max="9" width="60.81640625" customWidth="1"/>
    <col min="10" max="10" width="24.2734375" style="41" bestFit="1" customWidth="1"/>
    <col min="11" max="11" width="6.7421875" customWidth="1"/>
    <col min="12" max="13" width="13.88671875" customWidth="1"/>
    <col min="14" max="14" width="13.21484375" customWidth="1"/>
  </cols>
  <sheetData>
    <row r="1" spans="1:14" ht="33" customHeight="1" thickBot="1" x14ac:dyDescent="0.2">
      <c r="A1" s="6" t="s">
        <v>455</v>
      </c>
      <c r="B1" s="39" t="s">
        <v>12</v>
      </c>
      <c r="C1" s="7" t="s">
        <v>11</v>
      </c>
      <c r="D1" s="6" t="s">
        <v>10</v>
      </c>
      <c r="E1" s="33" t="s">
        <v>456</v>
      </c>
      <c r="F1" s="6" t="s">
        <v>457</v>
      </c>
      <c r="G1" s="6" t="s">
        <v>458</v>
      </c>
      <c r="H1" s="6" t="s">
        <v>459</v>
      </c>
      <c r="I1" s="6" t="s">
        <v>460</v>
      </c>
      <c r="J1" s="6" t="s">
        <v>1129</v>
      </c>
      <c r="K1" s="10"/>
      <c r="L1" s="10"/>
      <c r="M1" s="11"/>
      <c r="N1" s="11"/>
    </row>
    <row r="2" spans="1:14" ht="45" customHeight="1" thickBot="1" x14ac:dyDescent="0.2">
      <c r="A2" s="12">
        <f>SUBTOTAL(3,$B$2:B2)</f>
        <v>1</v>
      </c>
      <c r="B2" s="40" t="s">
        <v>842</v>
      </c>
      <c r="C2" s="6">
        <v>17309.48</v>
      </c>
      <c r="D2" s="14">
        <v>17309.48</v>
      </c>
      <c r="E2" s="35"/>
      <c r="F2" s="6"/>
      <c r="H2" s="12"/>
      <c r="I2" s="12"/>
      <c r="J2" s="6">
        <v>0</v>
      </c>
      <c r="M2" s="2"/>
      <c r="N2" s="2"/>
    </row>
    <row r="3" spans="1:14" ht="45" customHeight="1" thickBot="1" x14ac:dyDescent="0.2">
      <c r="A3" s="12">
        <f>SUBTOTAL(3,$B$2:B3)</f>
        <v>2</v>
      </c>
      <c r="B3" s="40" t="s">
        <v>843</v>
      </c>
      <c r="C3" s="6">
        <v>37842</v>
      </c>
      <c r="D3" s="14">
        <v>37842</v>
      </c>
      <c r="E3" s="35"/>
      <c r="F3" s="6"/>
      <c r="H3" s="12"/>
      <c r="I3" s="12"/>
      <c r="J3" s="6">
        <v>0</v>
      </c>
      <c r="M3" s="2"/>
      <c r="N3" s="2"/>
    </row>
    <row r="4" spans="1:14" ht="45" customHeight="1" thickBot="1" x14ac:dyDescent="0.2">
      <c r="A4" s="12">
        <f>SUBTOTAL(3,$B$2:B4)</f>
        <v>3</v>
      </c>
      <c r="B4" s="40" t="s">
        <v>844</v>
      </c>
      <c r="C4" s="6">
        <v>125002.5</v>
      </c>
      <c r="D4" s="14">
        <v>125002.5</v>
      </c>
      <c r="E4" s="15"/>
      <c r="F4" s="6"/>
      <c r="H4" s="12"/>
      <c r="I4" s="12"/>
      <c r="J4" s="6">
        <v>0</v>
      </c>
      <c r="M4" s="2"/>
      <c r="N4" s="2"/>
    </row>
    <row r="5" spans="1:14" ht="45" customHeight="1" thickBot="1" x14ac:dyDescent="0.2">
      <c r="A5" s="12">
        <f>SUBTOTAL(3,$B$2:B5)</f>
        <v>4</v>
      </c>
      <c r="B5" s="40" t="s">
        <v>845</v>
      </c>
      <c r="C5" s="6">
        <v>31891.11</v>
      </c>
      <c r="D5" s="14">
        <v>31891.11</v>
      </c>
      <c r="E5" s="35"/>
      <c r="F5" s="6"/>
      <c r="H5" s="12"/>
      <c r="I5" s="12"/>
      <c r="J5" s="6">
        <v>0</v>
      </c>
      <c r="M5" s="2"/>
      <c r="N5" s="2"/>
    </row>
    <row r="6" spans="1:14" ht="45" customHeight="1" thickBot="1" x14ac:dyDescent="0.2">
      <c r="A6" s="12">
        <f>SUBTOTAL(3,$B$2:B6)</f>
        <v>5</v>
      </c>
      <c r="B6" s="40" t="s">
        <v>846</v>
      </c>
      <c r="C6" s="6">
        <v>85604.76</v>
      </c>
      <c r="D6" s="14">
        <v>85604.76</v>
      </c>
      <c r="E6" s="35"/>
      <c r="F6" s="6"/>
      <c r="H6" s="12"/>
      <c r="I6" s="12"/>
      <c r="J6" s="6">
        <v>0</v>
      </c>
      <c r="M6" s="2"/>
      <c r="N6" s="2"/>
    </row>
    <row r="7" spans="1:14" ht="45" customHeight="1" thickBot="1" x14ac:dyDescent="0.2">
      <c r="A7" s="12">
        <f>SUBTOTAL(3,$B$2:B7)</f>
        <v>6</v>
      </c>
      <c r="B7" s="40" t="s">
        <v>847</v>
      </c>
      <c r="C7" s="6">
        <v>496000.65</v>
      </c>
      <c r="D7" s="14">
        <v>496000.65</v>
      </c>
      <c r="E7" s="35"/>
      <c r="F7" s="6"/>
      <c r="H7" s="12"/>
      <c r="I7" s="12"/>
      <c r="J7" s="6">
        <v>0</v>
      </c>
      <c r="M7" s="2"/>
      <c r="N7" s="2"/>
    </row>
    <row r="8" spans="1:14" ht="45" customHeight="1" thickBot="1" x14ac:dyDescent="0.2">
      <c r="A8" s="12">
        <f>SUBTOTAL(3,$B$2:B8)</f>
        <v>7</v>
      </c>
      <c r="B8" s="40" t="s">
        <v>848</v>
      </c>
      <c r="C8" s="6">
        <v>178463.18</v>
      </c>
      <c r="D8" s="14">
        <v>178463.18</v>
      </c>
      <c r="E8" s="35"/>
      <c r="F8" s="6"/>
      <c r="H8" s="12"/>
      <c r="I8" s="12"/>
      <c r="J8" s="6">
        <v>0</v>
      </c>
      <c r="M8" s="2"/>
      <c r="N8" s="2"/>
    </row>
    <row r="9" spans="1:14" ht="45" customHeight="1" thickBot="1" x14ac:dyDescent="0.2">
      <c r="A9" s="12">
        <f>SUBTOTAL(3,$B$2:B9)</f>
        <v>8</v>
      </c>
      <c r="B9" s="40" t="s">
        <v>849</v>
      </c>
      <c r="C9" s="6">
        <v>130914.45</v>
      </c>
      <c r="D9" s="14">
        <v>130914.45</v>
      </c>
      <c r="E9" s="15"/>
      <c r="F9" s="6"/>
      <c r="H9" s="6"/>
      <c r="I9" s="12"/>
      <c r="J9" s="6">
        <v>0</v>
      </c>
      <c r="M9" s="2"/>
      <c r="N9" s="2"/>
    </row>
    <row r="10" spans="1:14" ht="45" customHeight="1" thickBot="1" x14ac:dyDescent="0.2">
      <c r="A10" s="12">
        <f>SUBTOTAL(3,$B$2:B10)</f>
        <v>9</v>
      </c>
      <c r="B10" s="40" t="s">
        <v>850</v>
      </c>
      <c r="C10" s="6">
        <v>78494.38</v>
      </c>
      <c r="D10" s="14">
        <v>78494.38</v>
      </c>
      <c r="E10" s="35"/>
      <c r="F10" s="6"/>
      <c r="H10" s="12"/>
      <c r="I10" s="12"/>
      <c r="J10" s="6">
        <v>0</v>
      </c>
      <c r="M10" s="2"/>
      <c r="N10" s="2"/>
    </row>
    <row r="11" spans="1:14" ht="45" customHeight="1" thickBot="1" x14ac:dyDescent="0.2">
      <c r="A11" s="12">
        <f>SUBTOTAL(3,$B$2:B11)</f>
        <v>10</v>
      </c>
      <c r="B11" s="40" t="s">
        <v>851</v>
      </c>
      <c r="C11" s="6">
        <v>19504</v>
      </c>
      <c r="D11" s="14">
        <v>19504</v>
      </c>
      <c r="E11" s="35"/>
      <c r="F11" s="6"/>
      <c r="H11" s="12"/>
      <c r="I11" s="12"/>
      <c r="J11" s="6">
        <v>0</v>
      </c>
      <c r="M11" s="2"/>
      <c r="N11" s="2"/>
    </row>
    <row r="12" spans="1:14" ht="45" customHeight="1" thickBot="1" x14ac:dyDescent="0.2">
      <c r="A12" s="12">
        <f>SUBTOTAL(3,$B$2:B12)</f>
        <v>11</v>
      </c>
      <c r="B12" s="40" t="s">
        <v>852</v>
      </c>
      <c r="C12" s="6">
        <v>63930</v>
      </c>
      <c r="D12" s="14">
        <v>63930</v>
      </c>
      <c r="E12" s="35"/>
      <c r="F12" s="6"/>
      <c r="H12" s="12"/>
      <c r="I12" s="12"/>
      <c r="J12" s="6">
        <v>0</v>
      </c>
      <c r="M12" s="2"/>
      <c r="N12" s="2"/>
    </row>
    <row r="13" spans="1:14" ht="45" customHeight="1" thickBot="1" x14ac:dyDescent="0.2">
      <c r="A13" s="12">
        <f>SUBTOTAL(3,$B$2:B13)</f>
        <v>12</v>
      </c>
      <c r="B13" s="40" t="s">
        <v>853</v>
      </c>
      <c r="C13" s="6">
        <v>48725.450000000004</v>
      </c>
      <c r="D13" s="14">
        <v>48725.450000000004</v>
      </c>
      <c r="E13" s="35"/>
      <c r="F13" s="6"/>
      <c r="H13" s="12"/>
      <c r="I13" s="12"/>
      <c r="J13" s="6">
        <v>0</v>
      </c>
      <c r="M13" s="2"/>
      <c r="N13" s="2"/>
    </row>
    <row r="14" spans="1:14" ht="45" customHeight="1" thickBot="1" x14ac:dyDescent="0.2">
      <c r="A14" s="12">
        <f>SUBTOTAL(3,$B$2:B14)</f>
        <v>13</v>
      </c>
      <c r="B14" s="40" t="s">
        <v>854</v>
      </c>
      <c r="C14" s="6">
        <v>245169.72</v>
      </c>
      <c r="D14" s="14">
        <v>245169.72</v>
      </c>
      <c r="E14" s="35"/>
      <c r="F14" s="6"/>
      <c r="H14" s="12"/>
      <c r="I14" s="12"/>
      <c r="J14" s="6">
        <v>0</v>
      </c>
      <c r="M14" s="2"/>
      <c r="N14" s="2"/>
    </row>
    <row r="15" spans="1:14" ht="45" customHeight="1" thickBot="1" x14ac:dyDescent="0.2">
      <c r="A15" s="12">
        <f>SUBTOTAL(3,$B$2:B15)</f>
        <v>14</v>
      </c>
      <c r="B15" s="40" t="s">
        <v>855</v>
      </c>
      <c r="C15" s="6">
        <v>227230.23</v>
      </c>
      <c r="D15" s="14">
        <v>227230.23</v>
      </c>
      <c r="E15" s="35"/>
      <c r="F15" s="6"/>
      <c r="H15" s="12"/>
      <c r="I15" s="12"/>
      <c r="J15" s="6">
        <v>0</v>
      </c>
      <c r="M15" s="2"/>
      <c r="N15" s="2"/>
    </row>
    <row r="16" spans="1:14" ht="45" customHeight="1" thickBot="1" x14ac:dyDescent="0.2">
      <c r="A16" s="12">
        <f>SUBTOTAL(3,$B$2:B16)</f>
        <v>15</v>
      </c>
      <c r="B16" s="40" t="s">
        <v>856</v>
      </c>
      <c r="C16" s="6">
        <v>100488.69</v>
      </c>
      <c r="D16" s="14">
        <v>100488.69</v>
      </c>
      <c r="E16" s="15"/>
      <c r="F16" s="6"/>
      <c r="H16" s="12"/>
      <c r="I16" s="12"/>
      <c r="J16" s="6">
        <v>0</v>
      </c>
      <c r="M16" s="2"/>
      <c r="N16" s="2"/>
    </row>
    <row r="17" spans="1:14" ht="45" customHeight="1" thickBot="1" x14ac:dyDescent="0.2">
      <c r="A17" s="12">
        <f>SUBTOTAL(3,$B$2:B17)</f>
        <v>16</v>
      </c>
      <c r="B17" s="40" t="s">
        <v>857</v>
      </c>
      <c r="C17" s="6">
        <v>103926.2</v>
      </c>
      <c r="D17" s="14">
        <v>103926.2</v>
      </c>
      <c r="E17" s="35"/>
      <c r="F17" s="6"/>
      <c r="H17" s="12"/>
      <c r="I17" s="12"/>
      <c r="J17" s="6">
        <v>0</v>
      </c>
      <c r="M17" s="2"/>
      <c r="N17" s="2"/>
    </row>
    <row r="18" spans="1:14" ht="45" customHeight="1" thickBot="1" x14ac:dyDescent="0.2">
      <c r="A18" s="12">
        <f>SUBTOTAL(3,$B$2:B18)</f>
        <v>17</v>
      </c>
      <c r="B18" s="40" t="s">
        <v>858</v>
      </c>
      <c r="C18" s="6">
        <v>10926.82</v>
      </c>
      <c r="D18" s="14">
        <v>10926.82</v>
      </c>
      <c r="E18" s="35"/>
      <c r="F18" s="6"/>
      <c r="H18" s="12"/>
      <c r="I18" s="12"/>
      <c r="J18" s="6">
        <v>0</v>
      </c>
      <c r="M18" s="2"/>
      <c r="N18" s="2"/>
    </row>
    <row r="19" spans="1:14" ht="45" customHeight="1" thickBot="1" x14ac:dyDescent="0.2">
      <c r="A19" s="12">
        <f>SUBTOTAL(3,$B$2:B19)</f>
        <v>18</v>
      </c>
      <c r="B19" s="40" t="s">
        <v>859</v>
      </c>
      <c r="C19" s="6">
        <v>196994.07</v>
      </c>
      <c r="D19" s="14">
        <v>196994.07</v>
      </c>
      <c r="E19" s="35"/>
      <c r="F19" s="6"/>
      <c r="H19" s="12"/>
      <c r="I19" s="12"/>
      <c r="J19" s="6">
        <v>0</v>
      </c>
      <c r="M19" s="2"/>
      <c r="N19" s="2"/>
    </row>
    <row r="20" spans="1:14" ht="45" customHeight="1" thickBot="1" x14ac:dyDescent="0.2">
      <c r="A20" s="12">
        <f>SUBTOTAL(3,$B$2:B20)</f>
        <v>19</v>
      </c>
      <c r="B20" s="40" t="s">
        <v>860</v>
      </c>
      <c r="C20" s="6">
        <v>116629.41</v>
      </c>
      <c r="D20" s="14">
        <v>116629.41</v>
      </c>
      <c r="E20" s="35"/>
      <c r="F20" s="6"/>
      <c r="H20" s="12"/>
      <c r="I20" s="12"/>
      <c r="J20" s="6">
        <v>0</v>
      </c>
      <c r="M20" s="2"/>
      <c r="N20" s="2"/>
    </row>
    <row r="21" spans="1:14" ht="45" customHeight="1" thickBot="1" x14ac:dyDescent="0.2">
      <c r="A21" s="12">
        <f>SUBTOTAL(3,$B$2:B21)</f>
        <v>20</v>
      </c>
      <c r="B21" s="40" t="s">
        <v>861</v>
      </c>
      <c r="C21" s="6">
        <v>364140.74</v>
      </c>
      <c r="D21" s="14">
        <v>364140.74</v>
      </c>
      <c r="E21" s="15"/>
      <c r="F21" s="6"/>
      <c r="H21" s="12"/>
      <c r="I21" s="12"/>
      <c r="J21" s="6">
        <v>0</v>
      </c>
      <c r="M21" s="2"/>
      <c r="N21" s="2"/>
    </row>
    <row r="22" spans="1:14" ht="45" customHeight="1" thickBot="1" x14ac:dyDescent="0.2">
      <c r="A22" s="12">
        <f>SUBTOTAL(3,$B$2:B22)</f>
        <v>21</v>
      </c>
      <c r="B22" s="40" t="s">
        <v>862</v>
      </c>
      <c r="C22" s="6">
        <v>211846.27000000002</v>
      </c>
      <c r="D22" s="14">
        <v>211846.27000000002</v>
      </c>
      <c r="E22" s="15"/>
      <c r="F22" s="6"/>
      <c r="H22" s="12"/>
      <c r="I22" s="17"/>
      <c r="J22" s="6">
        <v>0</v>
      </c>
      <c r="M22" s="2"/>
      <c r="N22" s="2"/>
    </row>
    <row r="23" spans="1:14" ht="45" customHeight="1" thickBot="1" x14ac:dyDescent="0.2">
      <c r="A23" s="12">
        <f>SUBTOTAL(3,$B$2:B23)</f>
        <v>22</v>
      </c>
      <c r="B23" s="40" t="s">
        <v>863</v>
      </c>
      <c r="C23" s="6">
        <v>85856.75</v>
      </c>
      <c r="D23" s="14">
        <v>109856.75</v>
      </c>
      <c r="E23" s="15" t="s">
        <v>1134</v>
      </c>
      <c r="F23" s="6"/>
      <c r="G23" s="12" t="s">
        <v>1268</v>
      </c>
      <c r="H23" s="12" t="s">
        <v>1269</v>
      </c>
      <c r="I23" s="12"/>
      <c r="J23" s="6">
        <v>24000</v>
      </c>
      <c r="M23" s="2"/>
      <c r="N23" s="2"/>
    </row>
    <row r="24" spans="1:14" ht="45" customHeight="1" thickBot="1" x14ac:dyDescent="0.2">
      <c r="A24" s="12">
        <f>SUBTOTAL(3,$B$2:B24)</f>
        <v>23</v>
      </c>
      <c r="B24" s="40" t="s">
        <v>864</v>
      </c>
      <c r="C24" s="6">
        <v>67173</v>
      </c>
      <c r="D24" s="14">
        <v>67173</v>
      </c>
      <c r="E24" s="8"/>
      <c r="F24" s="6"/>
      <c r="H24" s="12"/>
      <c r="I24" s="12"/>
      <c r="J24" s="6">
        <v>0</v>
      </c>
      <c r="M24" s="2"/>
      <c r="N24" s="2"/>
    </row>
    <row r="25" spans="1:14" ht="45" customHeight="1" thickBot="1" x14ac:dyDescent="0.2">
      <c r="A25" s="12">
        <f>SUBTOTAL(3,$B$2:B25)</f>
        <v>24</v>
      </c>
      <c r="B25" s="40" t="s">
        <v>865</v>
      </c>
      <c r="C25" s="6">
        <v>13000</v>
      </c>
      <c r="D25" s="14">
        <v>13000</v>
      </c>
      <c r="E25" s="15"/>
      <c r="F25" s="6"/>
      <c r="H25" s="12"/>
      <c r="I25" s="17"/>
      <c r="J25" s="6">
        <v>0</v>
      </c>
      <c r="M25" s="2"/>
      <c r="N25" s="2"/>
    </row>
    <row r="26" spans="1:14" ht="45" customHeight="1" thickBot="1" x14ac:dyDescent="0.2">
      <c r="A26" s="12">
        <f>SUBTOTAL(3,$B$2:B26)</f>
        <v>25</v>
      </c>
      <c r="B26" s="40" t="s">
        <v>866</v>
      </c>
      <c r="C26" s="6">
        <v>20016.29</v>
      </c>
      <c r="D26" s="14">
        <v>20016.29</v>
      </c>
      <c r="E26" s="35"/>
      <c r="F26" s="6"/>
      <c r="H26" s="12"/>
      <c r="I26" s="12"/>
      <c r="J26" s="6">
        <v>0</v>
      </c>
      <c r="M26" s="2"/>
      <c r="N26" s="2"/>
    </row>
    <row r="27" spans="1:14" ht="45" customHeight="1" thickBot="1" x14ac:dyDescent="0.2">
      <c r="A27" s="12">
        <f>SUBTOTAL(3,$B$2:B27)</f>
        <v>26</v>
      </c>
      <c r="B27" s="40" t="s">
        <v>867</v>
      </c>
      <c r="C27" s="6">
        <v>44556</v>
      </c>
      <c r="D27" s="14">
        <v>44556</v>
      </c>
      <c r="E27" s="15"/>
      <c r="F27" s="6"/>
      <c r="H27" s="12"/>
      <c r="I27" s="17"/>
      <c r="J27" s="6">
        <v>0</v>
      </c>
      <c r="M27" s="2"/>
      <c r="N27" s="2"/>
    </row>
    <row r="28" spans="1:14" ht="45" customHeight="1" thickBot="1" x14ac:dyDescent="0.2">
      <c r="A28" s="12">
        <f>SUBTOTAL(3,$B$2:B28)</f>
        <v>27</v>
      </c>
      <c r="B28" s="40" t="s">
        <v>868</v>
      </c>
      <c r="C28" s="6">
        <v>181621.15</v>
      </c>
      <c r="D28" s="14">
        <v>181621.15</v>
      </c>
      <c r="E28" s="15"/>
      <c r="F28" s="6"/>
      <c r="H28" s="12"/>
      <c r="I28" s="12"/>
      <c r="J28" s="6">
        <v>0</v>
      </c>
      <c r="M28" s="2"/>
      <c r="N28" s="2"/>
    </row>
    <row r="29" spans="1:14" ht="45" customHeight="1" thickBot="1" x14ac:dyDescent="0.2">
      <c r="A29" s="12">
        <f>SUBTOTAL(3,$B$2:B29)</f>
        <v>28</v>
      </c>
      <c r="B29" s="40" t="s">
        <v>869</v>
      </c>
      <c r="C29" s="6">
        <v>100050.19</v>
      </c>
      <c r="D29" s="14">
        <v>100050.19</v>
      </c>
      <c r="E29" s="15"/>
      <c r="F29" s="6"/>
      <c r="H29" s="12"/>
      <c r="I29" s="12"/>
      <c r="J29" s="6">
        <v>0</v>
      </c>
      <c r="M29" s="2"/>
      <c r="N29" s="2"/>
    </row>
    <row r="30" spans="1:14" ht="45" customHeight="1" thickBot="1" x14ac:dyDescent="0.2">
      <c r="A30" s="12">
        <f>SUBTOTAL(3,$B$2:B30)</f>
        <v>29</v>
      </c>
      <c r="B30" s="40" t="s">
        <v>870</v>
      </c>
      <c r="C30" s="6">
        <v>59827.24</v>
      </c>
      <c r="D30" s="14">
        <v>59827.24</v>
      </c>
      <c r="E30" s="8"/>
      <c r="F30" s="6"/>
      <c r="H30" s="6"/>
      <c r="I30" s="12"/>
      <c r="J30" s="6">
        <v>0</v>
      </c>
      <c r="M30" s="2"/>
      <c r="N30" s="2"/>
    </row>
    <row r="31" spans="1:14" ht="45" customHeight="1" thickBot="1" x14ac:dyDescent="0.2">
      <c r="A31" s="12">
        <f>SUBTOTAL(3,$B$2:B31)</f>
        <v>30</v>
      </c>
      <c r="B31" s="40" t="s">
        <v>871</v>
      </c>
      <c r="C31" s="6">
        <v>55853.14</v>
      </c>
      <c r="D31" s="14">
        <v>55853.14</v>
      </c>
      <c r="E31" s="35"/>
      <c r="F31" s="6"/>
      <c r="H31" s="12"/>
      <c r="I31" s="12"/>
      <c r="J31" s="6">
        <v>0</v>
      </c>
      <c r="M31" s="2"/>
      <c r="N31" s="2"/>
    </row>
    <row r="32" spans="1:14" ht="45" customHeight="1" thickBot="1" x14ac:dyDescent="0.2">
      <c r="A32" s="12">
        <f>SUBTOTAL(3,$B$2:B32)</f>
        <v>31</v>
      </c>
      <c r="B32" s="40" t="s">
        <v>872</v>
      </c>
      <c r="C32" s="6">
        <v>66164</v>
      </c>
      <c r="D32" s="14">
        <v>66164</v>
      </c>
      <c r="E32" s="15"/>
      <c r="F32" s="6"/>
      <c r="H32" s="12"/>
      <c r="I32" s="12"/>
      <c r="J32" s="6">
        <v>0</v>
      </c>
      <c r="M32" s="2"/>
      <c r="N32" s="2"/>
    </row>
    <row r="33" spans="1:14" ht="45" customHeight="1" thickBot="1" x14ac:dyDescent="0.2">
      <c r="A33" s="12">
        <f>SUBTOTAL(3,$B$2:B33)</f>
        <v>32</v>
      </c>
      <c r="B33" s="40" t="s">
        <v>873</v>
      </c>
      <c r="C33" s="6">
        <v>27985.72</v>
      </c>
      <c r="D33" s="14">
        <v>27985.72</v>
      </c>
      <c r="E33" s="8"/>
      <c r="F33" s="6"/>
      <c r="H33" s="12"/>
      <c r="I33" s="17"/>
      <c r="J33" s="6">
        <v>0</v>
      </c>
      <c r="M33" s="2"/>
      <c r="N33" s="2"/>
    </row>
    <row r="34" spans="1:14" ht="45" customHeight="1" thickBot="1" x14ac:dyDescent="0.2">
      <c r="A34" s="12">
        <f>SUBTOTAL(3,$B$2:B34)</f>
        <v>33</v>
      </c>
      <c r="B34" s="40" t="s">
        <v>874</v>
      </c>
      <c r="C34" s="6">
        <v>46101.89</v>
      </c>
      <c r="D34" s="14">
        <v>46101.89</v>
      </c>
      <c r="E34" s="15"/>
      <c r="F34" s="6"/>
      <c r="H34" s="12"/>
      <c r="I34" s="17"/>
      <c r="J34" s="6">
        <v>0</v>
      </c>
      <c r="M34" s="2"/>
      <c r="N34" s="2"/>
    </row>
    <row r="35" spans="1:14" ht="45" customHeight="1" thickBot="1" x14ac:dyDescent="0.2">
      <c r="A35" s="12">
        <f>SUBTOTAL(3,$B$2:B35)</f>
        <v>34</v>
      </c>
      <c r="B35" s="40" t="s">
        <v>875</v>
      </c>
      <c r="C35" s="6">
        <v>29684</v>
      </c>
      <c r="D35" s="14">
        <v>29684</v>
      </c>
      <c r="E35" s="8"/>
      <c r="F35" s="6"/>
      <c r="H35" s="12"/>
      <c r="I35" s="12"/>
      <c r="J35" s="6">
        <v>0</v>
      </c>
      <c r="M35" s="2"/>
      <c r="N35" s="2"/>
    </row>
    <row r="36" spans="1:14" ht="45" customHeight="1" thickBot="1" x14ac:dyDescent="0.2">
      <c r="A36" s="12">
        <f>SUBTOTAL(3,$B$2:B36)</f>
        <v>35</v>
      </c>
      <c r="B36" s="40" t="s">
        <v>876</v>
      </c>
      <c r="C36" s="6">
        <v>124613</v>
      </c>
      <c r="D36" s="14">
        <v>124613</v>
      </c>
      <c r="E36" s="15"/>
      <c r="F36" s="6"/>
      <c r="H36" s="12"/>
      <c r="I36" s="12"/>
      <c r="J36" s="6">
        <v>0</v>
      </c>
      <c r="M36" s="2"/>
      <c r="N36" s="2"/>
    </row>
    <row r="37" spans="1:14" ht="45" customHeight="1" thickBot="1" x14ac:dyDescent="0.2">
      <c r="A37" s="12">
        <f>SUBTOTAL(3,$B$2:B37)</f>
        <v>36</v>
      </c>
      <c r="B37" s="40" t="s">
        <v>877</v>
      </c>
      <c r="C37" s="6">
        <v>78400</v>
      </c>
      <c r="D37" s="14">
        <v>78400</v>
      </c>
      <c r="E37" s="15"/>
      <c r="F37" s="6"/>
      <c r="H37" s="12"/>
      <c r="I37" s="17"/>
      <c r="J37" s="6">
        <v>0</v>
      </c>
      <c r="M37" s="2"/>
      <c r="N37" s="2"/>
    </row>
    <row r="38" spans="1:14" ht="45" customHeight="1" thickBot="1" x14ac:dyDescent="0.2">
      <c r="A38" s="12">
        <f>SUBTOTAL(3,$B$2:B38)</f>
        <v>37</v>
      </c>
      <c r="B38" s="40" t="s">
        <v>878</v>
      </c>
      <c r="C38" s="6">
        <v>220821.18</v>
      </c>
      <c r="D38" s="14">
        <v>220821.18</v>
      </c>
      <c r="E38" s="15"/>
      <c r="F38" s="6"/>
      <c r="H38" s="12"/>
      <c r="I38" s="12"/>
      <c r="J38" s="6">
        <v>0</v>
      </c>
      <c r="M38" s="2"/>
      <c r="N38" s="2"/>
    </row>
    <row r="39" spans="1:14" ht="45" customHeight="1" thickBot="1" x14ac:dyDescent="0.2">
      <c r="A39" s="12">
        <f>SUBTOTAL(3,$B$2:B39)</f>
        <v>38</v>
      </c>
      <c r="B39" s="40" t="s">
        <v>879</v>
      </c>
      <c r="C39" s="6">
        <v>21357.74</v>
      </c>
      <c r="D39" s="14">
        <v>21357.74</v>
      </c>
      <c r="E39" s="8"/>
      <c r="F39" s="6"/>
      <c r="H39" s="12"/>
      <c r="I39" s="12"/>
      <c r="J39" s="6">
        <v>0</v>
      </c>
      <c r="M39" s="2"/>
      <c r="N39" s="2"/>
    </row>
    <row r="40" spans="1:14" ht="45" customHeight="1" thickBot="1" x14ac:dyDescent="0.2">
      <c r="A40" s="12">
        <f>SUBTOTAL(3,$B$2:B40)</f>
        <v>39</v>
      </c>
      <c r="B40" s="40" t="s">
        <v>880</v>
      </c>
      <c r="C40" s="6">
        <v>95798.22</v>
      </c>
      <c r="D40" s="14">
        <v>95798.22</v>
      </c>
      <c r="E40" s="15"/>
      <c r="F40" s="6"/>
      <c r="H40" s="6"/>
      <c r="I40" s="12"/>
      <c r="J40" s="6">
        <v>0</v>
      </c>
      <c r="M40" s="2"/>
      <c r="N40" s="2"/>
    </row>
    <row r="41" spans="1:14" ht="45" customHeight="1" thickBot="1" x14ac:dyDescent="0.2">
      <c r="A41" s="12">
        <f>SUBTOTAL(3,$B$2:B41)</f>
        <v>40</v>
      </c>
      <c r="B41" s="40" t="s">
        <v>881</v>
      </c>
      <c r="C41" s="6">
        <v>158016.32999999999</v>
      </c>
      <c r="D41" s="14">
        <v>158016.32999999999</v>
      </c>
      <c r="E41" s="15"/>
      <c r="F41" s="6"/>
      <c r="H41" s="12"/>
      <c r="I41" s="17"/>
      <c r="J41" s="6">
        <v>0</v>
      </c>
      <c r="M41" s="2"/>
      <c r="N41" s="2"/>
    </row>
    <row r="42" spans="1:14" ht="45" customHeight="1" thickBot="1" x14ac:dyDescent="0.2">
      <c r="A42" s="12">
        <f>SUBTOTAL(3,$B$2:B42)</f>
        <v>41</v>
      </c>
      <c r="B42" s="40" t="s">
        <v>882</v>
      </c>
      <c r="C42" s="6">
        <v>17368</v>
      </c>
      <c r="D42" s="14">
        <v>17368</v>
      </c>
      <c r="E42" s="8"/>
      <c r="F42" s="6"/>
      <c r="H42" s="12"/>
      <c r="I42" s="12"/>
      <c r="J42" s="6">
        <v>0</v>
      </c>
      <c r="M42" s="2"/>
      <c r="N42" s="2"/>
    </row>
    <row r="43" spans="1:14" ht="45" customHeight="1" thickBot="1" x14ac:dyDescent="0.2">
      <c r="A43" s="12">
        <f>SUBTOTAL(3,$B$2:B43)</f>
        <v>42</v>
      </c>
      <c r="B43" s="40" t="s">
        <v>883</v>
      </c>
      <c r="C43" s="6">
        <v>106350.84</v>
      </c>
      <c r="D43" s="14">
        <v>106350.84</v>
      </c>
      <c r="E43" s="15"/>
      <c r="F43" s="6"/>
      <c r="H43" s="6"/>
      <c r="I43" s="12"/>
      <c r="J43" s="6">
        <v>0</v>
      </c>
      <c r="M43" s="2"/>
      <c r="N43" s="2"/>
    </row>
    <row r="44" spans="1:14" ht="45" customHeight="1" thickBot="1" x14ac:dyDescent="0.2">
      <c r="A44" s="12">
        <f>SUBTOTAL(3,$B$2:B44)</f>
        <v>43</v>
      </c>
      <c r="B44" s="40" t="s">
        <v>884</v>
      </c>
      <c r="C44" s="6">
        <v>15508.220000000001</v>
      </c>
      <c r="D44" s="14">
        <v>15508.220000000001</v>
      </c>
      <c r="E44" s="15"/>
      <c r="F44" s="6"/>
      <c r="H44" s="12"/>
      <c r="I44" s="12"/>
      <c r="J44" s="6">
        <v>0</v>
      </c>
      <c r="M44" s="2"/>
      <c r="N44" s="2"/>
    </row>
    <row r="45" spans="1:14" ht="45" customHeight="1" thickBot="1" x14ac:dyDescent="0.2">
      <c r="A45" s="12">
        <f>SUBTOTAL(3,$B$2:B45)</f>
        <v>44</v>
      </c>
      <c r="B45" s="40" t="s">
        <v>885</v>
      </c>
      <c r="C45" s="6">
        <v>42088.67</v>
      </c>
      <c r="D45" s="14">
        <v>42088.67</v>
      </c>
      <c r="E45" s="15"/>
      <c r="F45" s="6"/>
      <c r="H45" s="12"/>
      <c r="I45" s="17"/>
      <c r="J45" s="6">
        <v>0</v>
      </c>
      <c r="M45" s="2"/>
      <c r="N45" s="2"/>
    </row>
    <row r="46" spans="1:14" ht="45" customHeight="1" thickBot="1" x14ac:dyDescent="0.2">
      <c r="A46" s="12">
        <f>SUBTOTAL(3,$B$2:B46)</f>
        <v>45</v>
      </c>
      <c r="B46" s="40" t="s">
        <v>886</v>
      </c>
      <c r="C46" s="6">
        <v>5760</v>
      </c>
      <c r="D46" s="14">
        <v>5760</v>
      </c>
      <c r="E46" s="15"/>
      <c r="F46" s="6"/>
      <c r="H46" s="6"/>
      <c r="I46" s="12"/>
      <c r="J46" s="6">
        <v>0</v>
      </c>
      <c r="M46" s="2"/>
      <c r="N46" s="2"/>
    </row>
    <row r="47" spans="1:14" ht="45" customHeight="1" thickBot="1" x14ac:dyDescent="0.2">
      <c r="A47" s="12">
        <f>SUBTOTAL(3,$B$2:B47)</f>
        <v>46</v>
      </c>
      <c r="B47" s="40" t="s">
        <v>887</v>
      </c>
      <c r="C47" s="6">
        <v>82029.91</v>
      </c>
      <c r="D47" s="14">
        <v>82029.91</v>
      </c>
      <c r="E47" s="15"/>
      <c r="F47" s="6"/>
      <c r="H47" s="12"/>
      <c r="I47" s="12"/>
      <c r="J47" s="6">
        <v>0</v>
      </c>
      <c r="M47" s="2"/>
      <c r="N47" s="2"/>
    </row>
    <row r="48" spans="1:14" ht="45" customHeight="1" thickBot="1" x14ac:dyDescent="0.2">
      <c r="A48" s="12">
        <f>SUBTOTAL(3,$B$2:B48)</f>
        <v>47</v>
      </c>
      <c r="B48" s="40" t="s">
        <v>888</v>
      </c>
      <c r="C48" s="6">
        <v>321347.39</v>
      </c>
      <c r="D48" s="14">
        <v>321347.39</v>
      </c>
      <c r="E48" s="15"/>
      <c r="F48" s="6"/>
      <c r="H48" s="12"/>
      <c r="I48" s="17"/>
      <c r="J48" s="6">
        <v>0</v>
      </c>
      <c r="M48" s="2"/>
      <c r="N48" s="2"/>
    </row>
    <row r="49" spans="1:14" ht="45" customHeight="1" thickBot="1" x14ac:dyDescent="0.2">
      <c r="A49" s="12">
        <f>SUBTOTAL(3,$B$2:B49)</f>
        <v>48</v>
      </c>
      <c r="B49" s="40" t="s">
        <v>889</v>
      </c>
      <c r="C49" s="6">
        <v>973514.1</v>
      </c>
      <c r="D49" s="14">
        <v>973514.1</v>
      </c>
      <c r="E49" s="15"/>
      <c r="F49" s="6"/>
      <c r="H49" s="12"/>
      <c r="I49" s="12"/>
      <c r="J49" s="6">
        <v>0</v>
      </c>
      <c r="M49" s="2"/>
      <c r="N49" s="2"/>
    </row>
    <row r="50" spans="1:14" ht="45" customHeight="1" thickBot="1" x14ac:dyDescent="0.2">
      <c r="A50" s="12">
        <f>SUBTOTAL(3,$B$2:B50)</f>
        <v>49</v>
      </c>
      <c r="B50" s="40" t="s">
        <v>890</v>
      </c>
      <c r="C50" s="6">
        <v>565823.04</v>
      </c>
      <c r="D50" s="14">
        <v>565823.04</v>
      </c>
      <c r="E50" s="35"/>
      <c r="F50" s="6"/>
      <c r="H50" s="12"/>
      <c r="I50" s="12"/>
      <c r="J50" s="6">
        <v>0</v>
      </c>
      <c r="M50" s="2"/>
      <c r="N50" s="2"/>
    </row>
    <row r="51" spans="1:14" ht="45" customHeight="1" thickBot="1" x14ac:dyDescent="0.2">
      <c r="A51" s="12">
        <f>SUBTOTAL(3,$B$2:B51)</f>
        <v>50</v>
      </c>
      <c r="B51" s="40" t="s">
        <v>891</v>
      </c>
      <c r="C51" s="6">
        <v>6589256.0700000003</v>
      </c>
      <c r="D51" s="14">
        <v>4058054.45</v>
      </c>
      <c r="E51" s="15"/>
      <c r="F51" s="6"/>
      <c r="H51" s="6"/>
      <c r="I51" s="12"/>
      <c r="J51" s="6">
        <v>2500000</v>
      </c>
      <c r="M51" s="2"/>
      <c r="N51" s="2"/>
    </row>
    <row r="52" spans="1:14" ht="45" customHeight="1" thickBot="1" x14ac:dyDescent="0.2">
      <c r="A52" s="12">
        <f>SUBTOTAL(3,$B$2:B52)</f>
        <v>51</v>
      </c>
      <c r="B52" s="40" t="s">
        <v>892</v>
      </c>
      <c r="C52" s="6">
        <v>32575</v>
      </c>
      <c r="D52" s="14">
        <v>32575</v>
      </c>
      <c r="E52" s="8"/>
      <c r="F52" s="6"/>
      <c r="H52" s="12"/>
      <c r="I52" s="12"/>
      <c r="J52" s="6">
        <v>0</v>
      </c>
      <c r="M52" s="2"/>
      <c r="N52" s="2"/>
    </row>
    <row r="53" spans="1:14" ht="45" customHeight="1" thickBot="1" x14ac:dyDescent="0.2">
      <c r="A53" s="12">
        <f>SUBTOTAL(3,$B$2:B53)</f>
        <v>52</v>
      </c>
      <c r="B53" s="40" t="s">
        <v>893</v>
      </c>
      <c r="C53" s="6">
        <v>26300</v>
      </c>
      <c r="D53" s="14">
        <v>26300</v>
      </c>
      <c r="E53" s="35"/>
      <c r="F53" s="6"/>
      <c r="H53" s="12"/>
      <c r="I53" s="12"/>
      <c r="J53" s="6">
        <v>0</v>
      </c>
      <c r="M53" s="2"/>
      <c r="N53" s="2"/>
    </row>
    <row r="54" spans="1:14" ht="45" customHeight="1" thickBot="1" x14ac:dyDescent="0.2">
      <c r="A54" s="12">
        <f>SUBTOTAL(3,$B$2:B54)</f>
        <v>53</v>
      </c>
      <c r="B54" s="40" t="s">
        <v>894</v>
      </c>
      <c r="C54" s="6">
        <v>45899</v>
      </c>
      <c r="D54" s="14">
        <v>45899</v>
      </c>
      <c r="E54" s="8"/>
      <c r="F54" s="6"/>
      <c r="H54" s="12"/>
      <c r="I54" s="12"/>
      <c r="J54" s="6">
        <v>0</v>
      </c>
      <c r="M54" s="2"/>
      <c r="N54" s="2"/>
    </row>
    <row r="55" spans="1:14" ht="45" customHeight="1" thickBot="1" x14ac:dyDescent="0.2">
      <c r="A55" s="12">
        <f>SUBTOTAL(3,$B$2:B55)</f>
        <v>54</v>
      </c>
      <c r="B55" s="40" t="s">
        <v>895</v>
      </c>
      <c r="C55" s="6">
        <v>85818</v>
      </c>
      <c r="D55" s="14">
        <v>85818</v>
      </c>
      <c r="E55" s="15"/>
      <c r="F55" s="6"/>
      <c r="H55" s="12"/>
      <c r="I55" s="12"/>
      <c r="J55" s="6">
        <v>0</v>
      </c>
      <c r="M55" s="2"/>
      <c r="N55" s="2"/>
    </row>
    <row r="56" spans="1:14" ht="45" customHeight="1" thickBot="1" x14ac:dyDescent="0.2">
      <c r="A56" s="12">
        <f>SUBTOTAL(3,$B$2:B56)</f>
        <v>55</v>
      </c>
      <c r="B56" s="40" t="s">
        <v>896</v>
      </c>
      <c r="C56" s="6">
        <v>88439</v>
      </c>
      <c r="D56" s="14">
        <v>88439</v>
      </c>
      <c r="E56" s="8"/>
      <c r="F56" s="6"/>
      <c r="H56" s="12"/>
      <c r="I56" s="17"/>
      <c r="J56" s="6">
        <v>0</v>
      </c>
      <c r="M56" s="2"/>
      <c r="N56" s="2"/>
    </row>
    <row r="57" spans="1:14" ht="45" customHeight="1" thickBot="1" x14ac:dyDescent="0.2">
      <c r="A57" s="12">
        <f>SUBTOTAL(3,$B$2:B57)</f>
        <v>56</v>
      </c>
      <c r="B57" s="40" t="s">
        <v>897</v>
      </c>
      <c r="C57" s="6">
        <v>30252</v>
      </c>
      <c r="D57" s="14">
        <v>30252</v>
      </c>
      <c r="E57" s="35"/>
      <c r="F57" s="6"/>
      <c r="H57" s="12"/>
      <c r="I57" s="12"/>
      <c r="J57" s="6">
        <v>0</v>
      </c>
      <c r="M57" s="2"/>
      <c r="N57" s="2"/>
    </row>
    <row r="58" spans="1:14" ht="45" customHeight="1" thickBot="1" x14ac:dyDescent="0.2">
      <c r="A58" s="12">
        <f>SUBTOTAL(3,$B$2:B58)</f>
        <v>57</v>
      </c>
      <c r="B58" s="40" t="s">
        <v>898</v>
      </c>
      <c r="C58" s="6">
        <v>97380.41</v>
      </c>
      <c r="D58" s="14">
        <v>97380.41</v>
      </c>
      <c r="E58" s="35"/>
      <c r="F58" s="6"/>
      <c r="H58" s="12"/>
      <c r="I58" s="12"/>
      <c r="J58" s="6">
        <v>0</v>
      </c>
      <c r="M58" s="2"/>
      <c r="N58" s="2"/>
    </row>
    <row r="59" spans="1:14" ht="45" customHeight="1" thickBot="1" x14ac:dyDescent="0.2">
      <c r="A59" s="12">
        <f>SUBTOTAL(3,$B$2:B59)</f>
        <v>58</v>
      </c>
      <c r="B59" s="40" t="s">
        <v>899</v>
      </c>
      <c r="C59" s="6">
        <v>19588.32</v>
      </c>
      <c r="D59" s="14">
        <v>-163.68</v>
      </c>
      <c r="E59" s="35" t="s">
        <v>1134</v>
      </c>
      <c r="F59" s="6"/>
      <c r="G59" s="12" t="s">
        <v>1270</v>
      </c>
      <c r="H59" s="12" t="s">
        <v>1271</v>
      </c>
      <c r="I59" s="12"/>
      <c r="J59" s="6">
        <v>55000</v>
      </c>
      <c r="M59" s="2"/>
      <c r="N59" s="2"/>
    </row>
    <row r="60" spans="1:14" ht="45" customHeight="1" thickBot="1" x14ac:dyDescent="0.2">
      <c r="A60" s="12">
        <f>SUBTOTAL(3,$B$2:B60)</f>
        <v>59</v>
      </c>
      <c r="B60" s="40" t="s">
        <v>900</v>
      </c>
      <c r="C60" s="6">
        <v>34600</v>
      </c>
      <c r="D60" s="14">
        <v>34600</v>
      </c>
      <c r="E60" s="35"/>
      <c r="F60" s="6"/>
      <c r="H60" s="12"/>
      <c r="I60" s="12"/>
      <c r="J60" s="6">
        <v>0</v>
      </c>
      <c r="M60" s="2"/>
      <c r="N60" s="2"/>
    </row>
    <row r="61" spans="1:14" ht="45" customHeight="1" thickBot="1" x14ac:dyDescent="0.2">
      <c r="A61" s="12">
        <f>SUBTOTAL(3,$B$2:B61)</f>
        <v>60</v>
      </c>
      <c r="B61" s="40" t="s">
        <v>901</v>
      </c>
      <c r="C61" s="6">
        <v>15949</v>
      </c>
      <c r="D61" s="14">
        <v>15949</v>
      </c>
      <c r="E61" s="35"/>
      <c r="F61" s="6"/>
      <c r="H61" s="12"/>
      <c r="I61" s="12"/>
      <c r="J61" s="6">
        <v>0</v>
      </c>
      <c r="M61" s="2"/>
      <c r="N61" s="2"/>
    </row>
    <row r="62" spans="1:14" ht="45" customHeight="1" thickBot="1" x14ac:dyDescent="0.2">
      <c r="A62" s="12">
        <f>SUBTOTAL(3,$B$2:B62)</f>
        <v>61</v>
      </c>
      <c r="B62" s="40" t="s">
        <v>902</v>
      </c>
      <c r="C62" s="6">
        <v>38226.85</v>
      </c>
      <c r="D62" s="14">
        <v>38226.85</v>
      </c>
      <c r="E62" s="35"/>
      <c r="F62" s="6"/>
      <c r="H62" s="12"/>
      <c r="I62" s="12"/>
      <c r="J62" s="6">
        <v>0</v>
      </c>
      <c r="M62" s="2"/>
      <c r="N62" s="2"/>
    </row>
    <row r="63" spans="1:14" ht="45" customHeight="1" thickBot="1" x14ac:dyDescent="0.2">
      <c r="A63" s="12">
        <f>SUBTOTAL(3,$B$2:B63)</f>
        <v>62</v>
      </c>
      <c r="B63" s="40" t="s">
        <v>903</v>
      </c>
      <c r="C63" s="6">
        <v>351476.68</v>
      </c>
      <c r="D63" s="14">
        <v>351476.68</v>
      </c>
      <c r="E63" s="35"/>
      <c r="F63" s="6"/>
      <c r="H63" s="12"/>
      <c r="I63" s="12"/>
      <c r="J63" s="6">
        <v>0</v>
      </c>
      <c r="M63" s="2"/>
      <c r="N63" s="2"/>
    </row>
    <row r="64" spans="1:14" ht="45" customHeight="1" thickBot="1" x14ac:dyDescent="0.2">
      <c r="A64" s="12">
        <f>SUBTOTAL(3,$B$2:B64)</f>
        <v>63</v>
      </c>
      <c r="B64" s="40" t="s">
        <v>904</v>
      </c>
      <c r="C64" s="6">
        <v>29341.86</v>
      </c>
      <c r="D64" s="14">
        <v>29341.86</v>
      </c>
      <c r="E64" s="35"/>
      <c r="F64" s="6"/>
      <c r="H64" s="12"/>
      <c r="I64" s="12"/>
      <c r="J64" s="6">
        <v>0</v>
      </c>
      <c r="M64" s="2"/>
      <c r="N64" s="2"/>
    </row>
    <row r="65" spans="1:14" ht="45" customHeight="1" thickBot="1" x14ac:dyDescent="0.2">
      <c r="A65" s="12">
        <f>SUBTOTAL(3,$B$2:B65)</f>
        <v>64</v>
      </c>
      <c r="B65" s="40" t="s">
        <v>905</v>
      </c>
      <c r="C65" s="6">
        <v>47450</v>
      </c>
      <c r="D65" s="14">
        <v>47450</v>
      </c>
      <c r="E65" s="26"/>
      <c r="F65" s="6"/>
      <c r="H65" s="12"/>
      <c r="I65" s="12"/>
      <c r="J65" s="6">
        <v>0</v>
      </c>
      <c r="M65" s="2"/>
      <c r="N65" s="2"/>
    </row>
    <row r="66" spans="1:14" ht="45" customHeight="1" thickBot="1" x14ac:dyDescent="0.2">
      <c r="A66" s="12">
        <f>SUBTOTAL(3,$B$2:B66)</f>
        <v>65</v>
      </c>
      <c r="B66" s="40" t="s">
        <v>906</v>
      </c>
      <c r="C66" s="6">
        <v>34300</v>
      </c>
      <c r="D66" s="14">
        <v>34300</v>
      </c>
      <c r="E66" s="26" t="s">
        <v>1251</v>
      </c>
      <c r="F66" s="6"/>
      <c r="H66" s="12"/>
      <c r="I66" s="12"/>
      <c r="J66" s="6">
        <v>0</v>
      </c>
      <c r="M66" s="2"/>
      <c r="N66" s="2"/>
    </row>
    <row r="67" spans="1:14" ht="45" customHeight="1" thickBot="1" x14ac:dyDescent="0.2">
      <c r="A67" s="12">
        <f>SUBTOTAL(3,$B$2:B67)</f>
        <v>66</v>
      </c>
      <c r="B67" s="40" t="s">
        <v>907</v>
      </c>
      <c r="C67" s="6">
        <v>380186.29</v>
      </c>
      <c r="D67" s="14">
        <v>12549.29</v>
      </c>
      <c r="E67" s="26"/>
      <c r="F67" s="6"/>
      <c r="H67" s="12"/>
      <c r="I67" s="12"/>
      <c r="J67" s="6">
        <v>213700</v>
      </c>
      <c r="M67" s="2"/>
      <c r="N67" s="2"/>
    </row>
    <row r="68" spans="1:14" ht="45" customHeight="1" thickBot="1" x14ac:dyDescent="0.2">
      <c r="A68" s="12">
        <f>SUBTOTAL(3,$B$2:B68)</f>
        <v>67</v>
      </c>
      <c r="B68" s="40" t="s">
        <v>908</v>
      </c>
      <c r="C68" s="6">
        <v>13750</v>
      </c>
      <c r="D68" s="14">
        <v>13750</v>
      </c>
      <c r="E68" s="26"/>
      <c r="F68" s="6"/>
      <c r="H68" s="12"/>
      <c r="I68" s="12"/>
      <c r="J68" s="6">
        <v>0</v>
      </c>
      <c r="M68" s="2"/>
      <c r="N68" s="2"/>
    </row>
    <row r="69" spans="1:14" ht="45" customHeight="1" thickBot="1" x14ac:dyDescent="0.2">
      <c r="A69" s="12">
        <f>SUBTOTAL(3,$B$2:B69)</f>
        <v>68</v>
      </c>
      <c r="B69" s="40" t="s">
        <v>909</v>
      </c>
      <c r="C69" s="6">
        <v>139201</v>
      </c>
      <c r="D69" s="14">
        <v>139201</v>
      </c>
      <c r="E69" s="26"/>
      <c r="F69" s="6"/>
      <c r="H69" s="12"/>
      <c r="I69" s="12"/>
      <c r="J69" s="6">
        <v>0</v>
      </c>
      <c r="M69" s="2"/>
      <c r="N69" s="2"/>
    </row>
    <row r="70" spans="1:14" ht="45" customHeight="1" thickBot="1" x14ac:dyDescent="0.2">
      <c r="A70" s="12">
        <f>SUBTOTAL(3,$B$2:B70)</f>
        <v>69</v>
      </c>
      <c r="B70" s="40" t="s">
        <v>910</v>
      </c>
      <c r="C70" s="6">
        <v>15004</v>
      </c>
      <c r="D70" s="14">
        <v>15004</v>
      </c>
      <c r="E70" s="26"/>
      <c r="F70" s="6"/>
      <c r="H70" s="12"/>
      <c r="I70" s="12"/>
      <c r="J70" s="6">
        <v>0</v>
      </c>
      <c r="M70" s="2"/>
      <c r="N70" s="2"/>
    </row>
    <row r="71" spans="1:14" ht="45" customHeight="1" thickBot="1" x14ac:dyDescent="0.2">
      <c r="A71" s="12">
        <f>SUBTOTAL(3,$B$2:B71)</f>
        <v>70</v>
      </c>
      <c r="B71" s="40" t="s">
        <v>911</v>
      </c>
      <c r="C71" s="6">
        <v>444343.3</v>
      </c>
      <c r="D71" s="14">
        <v>444343.3</v>
      </c>
      <c r="E71" s="26"/>
      <c r="F71" s="6"/>
      <c r="H71" s="12"/>
      <c r="I71" s="12"/>
      <c r="J71" s="6">
        <v>0</v>
      </c>
      <c r="M71" s="2"/>
      <c r="N71" s="2"/>
    </row>
    <row r="72" spans="1:14" ht="45" customHeight="1" thickBot="1" x14ac:dyDescent="0.2">
      <c r="A72" s="12">
        <f>SUBTOTAL(3,$B$2:B72)</f>
        <v>71</v>
      </c>
      <c r="B72" s="40" t="s">
        <v>912</v>
      </c>
      <c r="C72" s="6">
        <v>14589.66</v>
      </c>
      <c r="D72" s="14">
        <v>14589.66</v>
      </c>
      <c r="E72" s="26"/>
      <c r="F72" s="6"/>
      <c r="H72" s="12"/>
      <c r="I72" s="12"/>
      <c r="J72" s="6">
        <v>0</v>
      </c>
      <c r="M72" s="2"/>
      <c r="N72" s="2"/>
    </row>
    <row r="73" spans="1:14" ht="45" customHeight="1" thickBot="1" x14ac:dyDescent="0.2">
      <c r="A73" s="12">
        <f>SUBTOTAL(3,$B$2:B73)</f>
        <v>72</v>
      </c>
      <c r="B73" s="40" t="s">
        <v>913</v>
      </c>
      <c r="C73" s="6">
        <v>2980191.8000000003</v>
      </c>
      <c r="D73" s="14">
        <v>3830191.8000000003</v>
      </c>
      <c r="E73" s="26" t="s">
        <v>1134</v>
      </c>
      <c r="F73" s="6"/>
      <c r="G73" s="12" t="s">
        <v>1194</v>
      </c>
      <c r="H73" s="12" t="s">
        <v>1193</v>
      </c>
      <c r="I73" s="12"/>
      <c r="J73" s="6">
        <v>850000</v>
      </c>
    </row>
    <row r="74" spans="1:14" ht="45" customHeight="1" thickBot="1" x14ac:dyDescent="0.2">
      <c r="A74" s="12">
        <f>SUBTOTAL(3,$B$2:B74)</f>
        <v>73</v>
      </c>
      <c r="B74" s="40" t="s">
        <v>914</v>
      </c>
      <c r="C74" s="6">
        <v>2511008.7400000002</v>
      </c>
      <c r="D74" s="14">
        <v>3351773.65</v>
      </c>
      <c r="E74" s="26" t="s">
        <v>1251</v>
      </c>
      <c r="F74" s="6"/>
      <c r="H74" s="12"/>
      <c r="I74" s="12"/>
      <c r="J74" s="6">
        <v>700000</v>
      </c>
    </row>
    <row r="75" spans="1:14" ht="45" customHeight="1" thickBot="1" x14ac:dyDescent="0.2">
      <c r="A75" s="12">
        <f>SUBTOTAL(3,$B$2:B75)</f>
        <v>74</v>
      </c>
      <c r="B75" s="40" t="s">
        <v>915</v>
      </c>
      <c r="C75" s="6">
        <v>5524419.2999999998</v>
      </c>
      <c r="D75" s="14">
        <v>7547013.5899999999</v>
      </c>
      <c r="E75" s="26" t="s">
        <v>1156</v>
      </c>
      <c r="F75" s="6"/>
      <c r="G75" s="12" t="s">
        <v>1199</v>
      </c>
      <c r="H75" s="12" t="s">
        <v>1200</v>
      </c>
      <c r="I75" s="12" t="s">
        <v>1201</v>
      </c>
      <c r="J75" s="6">
        <v>7520000</v>
      </c>
    </row>
    <row r="76" spans="1:14" ht="45" customHeight="1" thickBot="1" x14ac:dyDescent="0.2">
      <c r="A76" s="12">
        <f>SUBTOTAL(3,$B$2:B76)</f>
        <v>75</v>
      </c>
      <c r="B76" s="40" t="s">
        <v>916</v>
      </c>
      <c r="C76" s="6">
        <v>579755.18999999994</v>
      </c>
      <c r="D76" s="14">
        <v>801755.19000000006</v>
      </c>
      <c r="E76" s="26" t="s">
        <v>1134</v>
      </c>
      <c r="F76" s="6"/>
      <c r="G76" s="12" t="s">
        <v>1196</v>
      </c>
      <c r="H76" s="12" t="s">
        <v>1290</v>
      </c>
      <c r="I76" s="12"/>
      <c r="J76" s="6">
        <v>222000</v>
      </c>
    </row>
    <row r="77" spans="1:14" ht="45" customHeight="1" thickBot="1" x14ac:dyDescent="0.2">
      <c r="A77" s="12">
        <f>SUBTOTAL(3,$B$2:B77)</f>
        <v>76</v>
      </c>
      <c r="B77" s="40" t="s">
        <v>917</v>
      </c>
      <c r="C77" s="6">
        <v>186428</v>
      </c>
      <c r="D77" s="14">
        <v>186428</v>
      </c>
      <c r="E77" s="26" t="s">
        <v>1252</v>
      </c>
      <c r="F77" s="6"/>
      <c r="H77" s="12"/>
      <c r="I77" s="12"/>
      <c r="J77" s="6">
        <v>0</v>
      </c>
    </row>
    <row r="78" spans="1:14" ht="45" customHeight="1" thickBot="1" x14ac:dyDescent="0.2">
      <c r="A78" s="12">
        <f>SUBTOTAL(3,$B$2:B78)</f>
        <v>77</v>
      </c>
      <c r="B78" s="40" t="s">
        <v>918</v>
      </c>
      <c r="C78" s="6">
        <v>22487</v>
      </c>
      <c r="D78" s="14">
        <v>22487</v>
      </c>
      <c r="E78" s="26"/>
      <c r="F78" s="6"/>
      <c r="H78" s="12"/>
      <c r="I78" s="12"/>
      <c r="J78" s="6">
        <v>0</v>
      </c>
    </row>
    <row r="79" spans="1:14" ht="45" customHeight="1" thickBot="1" x14ac:dyDescent="0.2">
      <c r="A79" s="12">
        <f>SUBTOTAL(3,$B$2:B79)</f>
        <v>78</v>
      </c>
      <c r="B79" s="40" t="s">
        <v>406</v>
      </c>
      <c r="C79" s="6">
        <v>14356</v>
      </c>
      <c r="D79" s="14">
        <v>14356</v>
      </c>
      <c r="E79" s="26"/>
      <c r="F79" s="6"/>
      <c r="H79" s="12"/>
      <c r="I79" s="12"/>
      <c r="J79" s="6">
        <v>0</v>
      </c>
    </row>
    <row r="80" spans="1:14" ht="45" customHeight="1" thickBot="1" x14ac:dyDescent="0.2">
      <c r="A80" s="12">
        <f>SUBTOTAL(3,$B$2:B80)</f>
        <v>79</v>
      </c>
      <c r="B80" s="40" t="s">
        <v>291</v>
      </c>
      <c r="C80" s="6">
        <v>16618</v>
      </c>
      <c r="D80" s="14">
        <v>16618</v>
      </c>
      <c r="E80" s="26"/>
      <c r="F80" s="6"/>
      <c r="H80" s="12"/>
      <c r="I80" s="12"/>
      <c r="J80" s="6">
        <v>0</v>
      </c>
    </row>
    <row r="81" spans="1:10" ht="45" customHeight="1" thickBot="1" x14ac:dyDescent="0.2">
      <c r="A81" s="12">
        <f>SUBTOTAL(3,$B$2:B81)</f>
        <v>80</v>
      </c>
      <c r="B81" s="40" t="s">
        <v>919</v>
      </c>
      <c r="C81" s="6">
        <v>26625</v>
      </c>
      <c r="D81" s="14">
        <v>26625</v>
      </c>
      <c r="E81" s="26"/>
      <c r="F81" s="6"/>
      <c r="H81" s="12"/>
      <c r="I81" s="12"/>
      <c r="J81" s="6">
        <v>0</v>
      </c>
    </row>
    <row r="82" spans="1:10" ht="45" customHeight="1" thickBot="1" x14ac:dyDescent="0.2">
      <c r="A82" s="12">
        <f>SUBTOTAL(3,$B$2:B82)</f>
        <v>81</v>
      </c>
      <c r="B82" s="40" t="s">
        <v>920</v>
      </c>
      <c r="C82" s="6">
        <v>44829.599999999999</v>
      </c>
      <c r="D82" s="14">
        <v>44829.599999999999</v>
      </c>
      <c r="E82" s="26"/>
      <c r="F82" s="6"/>
      <c r="H82" s="12"/>
      <c r="I82" s="12"/>
      <c r="J82" s="6">
        <v>0</v>
      </c>
    </row>
    <row r="83" spans="1:10" ht="45" customHeight="1" thickBot="1" x14ac:dyDescent="0.2">
      <c r="A83" s="12">
        <f>SUBTOTAL(3,$B$2:B83)</f>
        <v>82</v>
      </c>
      <c r="B83" s="40" t="s">
        <v>921</v>
      </c>
      <c r="C83" s="6">
        <v>3410000.15</v>
      </c>
      <c r="D83" s="14">
        <v>5810000.1500000004</v>
      </c>
      <c r="E83" s="26" t="s">
        <v>1134</v>
      </c>
      <c r="F83" s="6"/>
      <c r="G83" s="12" t="s">
        <v>1189</v>
      </c>
      <c r="H83" s="12" t="s">
        <v>1190</v>
      </c>
      <c r="I83" s="12"/>
      <c r="J83" s="6">
        <v>2400000</v>
      </c>
    </row>
    <row r="84" spans="1:10" ht="45" customHeight="1" thickBot="1" x14ac:dyDescent="0.2">
      <c r="A84" s="12">
        <f>SUBTOTAL(3,$B$2:B84)</f>
        <v>83</v>
      </c>
      <c r="B84" s="40" t="s">
        <v>922</v>
      </c>
      <c r="C84" s="6">
        <v>426780.09</v>
      </c>
      <c r="D84" s="14">
        <v>264180.09000000003</v>
      </c>
      <c r="E84" s="26"/>
      <c r="F84" s="6"/>
      <c r="H84" s="12"/>
      <c r="I84" s="12"/>
      <c r="J84" s="6">
        <v>260000</v>
      </c>
    </row>
    <row r="85" spans="1:10" ht="45" customHeight="1" thickBot="1" x14ac:dyDescent="0.2">
      <c r="A85" s="12">
        <f>SUBTOTAL(3,$B$2:B85)</f>
        <v>84</v>
      </c>
      <c r="B85" s="40" t="s">
        <v>923</v>
      </c>
      <c r="C85" s="6">
        <v>30735</v>
      </c>
      <c r="D85" s="14">
        <v>30735</v>
      </c>
      <c r="E85" s="26"/>
      <c r="F85" s="6"/>
      <c r="H85" s="12"/>
      <c r="I85" s="12"/>
      <c r="J85" s="6">
        <v>0</v>
      </c>
    </row>
    <row r="86" spans="1:10" ht="45" customHeight="1" thickBot="1" x14ac:dyDescent="0.2">
      <c r="A86" s="12">
        <f>SUBTOTAL(3,$B$2:B86)</f>
        <v>85</v>
      </c>
      <c r="B86" s="40" t="s">
        <v>924</v>
      </c>
      <c r="C86" s="6">
        <v>45230.090000000004</v>
      </c>
      <c r="D86" s="14">
        <v>45230.090000000004</v>
      </c>
      <c r="E86" s="26"/>
      <c r="F86" s="6"/>
      <c r="H86" s="12"/>
      <c r="I86" s="12"/>
      <c r="J86" s="6">
        <v>0</v>
      </c>
    </row>
    <row r="87" spans="1:10" ht="45" customHeight="1" thickBot="1" x14ac:dyDescent="0.2">
      <c r="A87" s="12">
        <f>SUBTOTAL(3,$B$2:B87)</f>
        <v>86</v>
      </c>
      <c r="B87" s="40" t="s">
        <v>925</v>
      </c>
      <c r="C87" s="6">
        <v>6021580.0300000003</v>
      </c>
      <c r="D87" s="14">
        <v>7363507.6600000001</v>
      </c>
      <c r="E87" s="26"/>
      <c r="F87" s="6"/>
      <c r="H87" s="12"/>
      <c r="I87" s="12"/>
      <c r="J87" s="6">
        <v>300000</v>
      </c>
    </row>
    <row r="88" spans="1:10" ht="45" customHeight="1" thickBot="1" x14ac:dyDescent="0.2">
      <c r="A88" s="12">
        <f>SUBTOTAL(3,$B$2:B88)</f>
        <v>87</v>
      </c>
      <c r="B88" s="40" t="s">
        <v>926</v>
      </c>
      <c r="C88" s="6">
        <v>3451311.2800000003</v>
      </c>
      <c r="D88" s="14">
        <v>6051311.2800000003</v>
      </c>
      <c r="E88" s="26"/>
      <c r="F88" s="6"/>
      <c r="H88" s="12"/>
      <c r="I88" s="12"/>
      <c r="J88" s="6">
        <v>2600000</v>
      </c>
    </row>
    <row r="89" spans="1:10" ht="45" customHeight="1" thickBot="1" x14ac:dyDescent="0.2">
      <c r="A89" s="12">
        <f>SUBTOTAL(3,$B$2:B89)</f>
        <v>88</v>
      </c>
      <c r="B89" s="40" t="s">
        <v>927</v>
      </c>
      <c r="C89" s="6">
        <v>563309</v>
      </c>
      <c r="D89" s="14">
        <v>563309</v>
      </c>
      <c r="E89" s="26"/>
      <c r="F89" s="6"/>
      <c r="H89" s="12"/>
      <c r="I89" s="12"/>
      <c r="J89" s="6">
        <v>0</v>
      </c>
    </row>
    <row r="90" spans="1:10" ht="45" customHeight="1" thickBot="1" x14ac:dyDescent="0.2">
      <c r="A90" s="12">
        <f>SUBTOTAL(3,$B$2:B90)</f>
        <v>89</v>
      </c>
      <c r="B90" s="40" t="s">
        <v>928</v>
      </c>
      <c r="C90" s="6">
        <v>1181950</v>
      </c>
      <c r="D90" s="14">
        <v>1241950</v>
      </c>
      <c r="E90" s="26"/>
      <c r="F90" s="6"/>
      <c r="H90" s="12"/>
      <c r="I90" s="12"/>
      <c r="J90" s="6">
        <v>60000</v>
      </c>
    </row>
    <row r="91" spans="1:10" ht="45" customHeight="1" thickBot="1" x14ac:dyDescent="0.2">
      <c r="A91" s="12">
        <f>SUBTOTAL(3,$B$2:B91)</f>
        <v>90</v>
      </c>
      <c r="B91" s="40" t="s">
        <v>929</v>
      </c>
      <c r="C91" s="6">
        <v>4171587.22</v>
      </c>
      <c r="D91" s="14">
        <v>5189752.22</v>
      </c>
      <c r="E91" s="26" t="s">
        <v>1134</v>
      </c>
      <c r="F91" s="6"/>
      <c r="G91" s="12" t="s">
        <v>1206</v>
      </c>
      <c r="H91" s="42" t="s">
        <v>1213</v>
      </c>
      <c r="I91" s="12"/>
      <c r="J91" s="6">
        <v>2258500</v>
      </c>
    </row>
    <row r="92" spans="1:10" ht="45" customHeight="1" thickBot="1" x14ac:dyDescent="0.2">
      <c r="A92" s="12">
        <f>SUBTOTAL(3,$B$2:B92)</f>
        <v>91</v>
      </c>
      <c r="B92" s="40" t="s">
        <v>930</v>
      </c>
      <c r="C92" s="6">
        <v>1381945.66</v>
      </c>
      <c r="D92" s="14">
        <v>1411945.66</v>
      </c>
      <c r="E92" s="26" t="s">
        <v>1156</v>
      </c>
      <c r="F92" s="6"/>
      <c r="G92" s="12" t="s">
        <v>1157</v>
      </c>
      <c r="H92" s="12" t="s">
        <v>1158</v>
      </c>
      <c r="I92" s="12"/>
      <c r="J92" s="6">
        <v>30000</v>
      </c>
    </row>
    <row r="93" spans="1:10" ht="45" customHeight="1" thickBot="1" x14ac:dyDescent="0.2">
      <c r="A93" s="12">
        <f>SUBTOTAL(3,$B$2:B93)</f>
        <v>92</v>
      </c>
      <c r="B93" s="40" t="s">
        <v>931</v>
      </c>
      <c r="C93" s="6">
        <v>354239.32</v>
      </c>
      <c r="D93" s="14">
        <v>354239.32</v>
      </c>
      <c r="E93" s="26"/>
      <c r="F93" s="6"/>
      <c r="H93" s="12"/>
      <c r="I93" s="12"/>
      <c r="J93" s="6">
        <v>0</v>
      </c>
    </row>
    <row r="94" spans="1:10" ht="45" customHeight="1" thickBot="1" x14ac:dyDescent="0.2">
      <c r="A94" s="12">
        <f>SUBTOTAL(3,$B$2:B94)</f>
        <v>93</v>
      </c>
      <c r="B94" s="40" t="s">
        <v>932</v>
      </c>
      <c r="C94" s="6">
        <v>146529</v>
      </c>
      <c r="D94" s="14">
        <v>146529</v>
      </c>
      <c r="E94" s="26"/>
      <c r="F94" s="6"/>
      <c r="H94" s="12"/>
      <c r="I94" s="12"/>
      <c r="J94" s="6">
        <v>0</v>
      </c>
    </row>
    <row r="95" spans="1:10" ht="45" customHeight="1" thickBot="1" x14ac:dyDescent="0.2">
      <c r="A95" s="12">
        <f>SUBTOTAL(3,$B$2:B95)</f>
        <v>94</v>
      </c>
      <c r="B95" s="40" t="s">
        <v>933</v>
      </c>
      <c r="C95" s="6">
        <v>21281</v>
      </c>
      <c r="D95" s="14">
        <v>21281</v>
      </c>
      <c r="E95" s="26"/>
      <c r="F95" s="6"/>
      <c r="H95" s="12"/>
      <c r="I95" s="12"/>
      <c r="J95" s="6">
        <v>0</v>
      </c>
    </row>
    <row r="96" spans="1:10" ht="45" customHeight="1" thickBot="1" x14ac:dyDescent="0.2">
      <c r="A96" s="12">
        <f>SUBTOTAL(3,$B$2:B96)</f>
        <v>95</v>
      </c>
      <c r="B96" s="40" t="s">
        <v>934</v>
      </c>
      <c r="C96" s="6">
        <v>22537</v>
      </c>
      <c r="D96" s="14">
        <v>22537</v>
      </c>
      <c r="E96" s="26"/>
      <c r="F96" s="6"/>
      <c r="H96" s="12"/>
      <c r="I96" s="12"/>
      <c r="J96" s="6">
        <v>0</v>
      </c>
    </row>
    <row r="97" spans="1:10" ht="45" customHeight="1" thickBot="1" x14ac:dyDescent="0.2">
      <c r="A97" s="12">
        <f>SUBTOTAL(3,$B$2:B97)</f>
        <v>96</v>
      </c>
      <c r="B97" s="40" t="s">
        <v>935</v>
      </c>
      <c r="C97" s="6">
        <v>1926899.86</v>
      </c>
      <c r="D97" s="14">
        <v>-0.14000000000000001</v>
      </c>
      <c r="E97" s="26" t="s">
        <v>1137</v>
      </c>
      <c r="F97" s="6"/>
      <c r="H97" s="12"/>
      <c r="I97" s="12"/>
      <c r="J97" s="6">
        <v>0</v>
      </c>
    </row>
    <row r="98" spans="1:10" ht="45" customHeight="1" thickBot="1" x14ac:dyDescent="0.2">
      <c r="A98" s="12">
        <f>SUBTOTAL(3,$B$2:B98)</f>
        <v>97</v>
      </c>
      <c r="B98" s="40" t="s">
        <v>936</v>
      </c>
      <c r="C98" s="6">
        <v>56238.5</v>
      </c>
      <c r="D98" s="14">
        <v>56238.5</v>
      </c>
      <c r="E98" s="26"/>
      <c r="F98" s="6"/>
      <c r="H98" s="12"/>
      <c r="I98" s="12"/>
      <c r="J98" s="6">
        <v>0</v>
      </c>
    </row>
    <row r="99" spans="1:10" ht="45" customHeight="1" thickBot="1" x14ac:dyDescent="0.2">
      <c r="A99" s="12">
        <f>SUBTOTAL(3,$B$2:B99)</f>
        <v>98</v>
      </c>
      <c r="B99" s="40" t="s">
        <v>937</v>
      </c>
      <c r="C99" s="6">
        <v>5235.28</v>
      </c>
      <c r="D99" s="14">
        <v>5235.28</v>
      </c>
      <c r="E99" s="26"/>
      <c r="F99" s="6"/>
      <c r="H99" s="12"/>
      <c r="I99" s="12"/>
      <c r="J99" s="6">
        <v>0</v>
      </c>
    </row>
    <row r="100" spans="1:10" ht="45" customHeight="1" thickBot="1" x14ac:dyDescent="0.2">
      <c r="A100" s="12">
        <f>SUBTOTAL(3,$B$2:B100)</f>
        <v>99</v>
      </c>
      <c r="B100" s="40" t="s">
        <v>938</v>
      </c>
      <c r="C100" s="6">
        <v>114241</v>
      </c>
      <c r="D100" s="14">
        <v>114241</v>
      </c>
      <c r="E100" s="26"/>
      <c r="F100" s="6"/>
      <c r="H100" s="12"/>
      <c r="I100" s="12"/>
      <c r="J100" s="6">
        <v>0</v>
      </c>
    </row>
    <row r="101" spans="1:10" ht="45" customHeight="1" thickBot="1" x14ac:dyDescent="0.2">
      <c r="A101" s="12">
        <f>SUBTOTAL(3,$B$2:B101)</f>
        <v>100</v>
      </c>
      <c r="B101" s="40" t="s">
        <v>939</v>
      </c>
      <c r="C101" s="6">
        <v>2195829.04</v>
      </c>
      <c r="D101" s="14">
        <v>415223.04000000004</v>
      </c>
      <c r="E101" s="26"/>
      <c r="F101" s="6"/>
      <c r="H101" s="12"/>
      <c r="I101" s="12"/>
      <c r="J101" s="6">
        <v>1872108</v>
      </c>
    </row>
    <row r="102" spans="1:10" ht="45" customHeight="1" thickBot="1" x14ac:dyDescent="0.2">
      <c r="A102" s="12">
        <f>SUBTOTAL(3,$B$2:B102)</f>
        <v>101</v>
      </c>
      <c r="B102" s="40" t="s">
        <v>940</v>
      </c>
      <c r="C102" s="6">
        <v>46731.31</v>
      </c>
      <c r="D102" s="14">
        <v>46731.31</v>
      </c>
      <c r="E102" s="26"/>
      <c r="F102" s="6"/>
      <c r="H102" s="12"/>
      <c r="I102" s="12"/>
      <c r="J102" s="6">
        <v>0</v>
      </c>
    </row>
    <row r="103" spans="1:10" ht="45" customHeight="1" thickBot="1" x14ac:dyDescent="0.2">
      <c r="A103" s="12">
        <f>SUBTOTAL(3,$B$2:B103)</f>
        <v>102</v>
      </c>
      <c r="B103" s="40" t="s">
        <v>941</v>
      </c>
      <c r="C103" s="6">
        <v>373037.35000000003</v>
      </c>
      <c r="D103" s="14">
        <v>373037.35000000003</v>
      </c>
      <c r="E103" s="26"/>
      <c r="F103" s="6"/>
      <c r="H103" s="12"/>
      <c r="I103" s="12"/>
      <c r="J103" s="6">
        <v>0</v>
      </c>
    </row>
    <row r="104" spans="1:10" ht="45" customHeight="1" thickBot="1" x14ac:dyDescent="0.2">
      <c r="A104" s="12">
        <f>SUBTOTAL(3,$B$2:B104)</f>
        <v>103</v>
      </c>
      <c r="B104" s="40" t="s">
        <v>942</v>
      </c>
      <c r="C104" s="6">
        <v>6329.64</v>
      </c>
      <c r="D104" s="14">
        <v>6329.64</v>
      </c>
      <c r="E104" s="26"/>
      <c r="F104" s="6"/>
      <c r="H104" s="12"/>
      <c r="I104" s="12"/>
      <c r="J104" s="6">
        <v>0</v>
      </c>
    </row>
    <row r="105" spans="1:10" ht="45" customHeight="1" thickBot="1" x14ac:dyDescent="0.2">
      <c r="A105" s="12">
        <f>SUBTOTAL(3,$B$2:B105)</f>
        <v>104</v>
      </c>
      <c r="B105" s="40" t="s">
        <v>943</v>
      </c>
      <c r="C105" s="6">
        <v>634878.62</v>
      </c>
      <c r="D105" s="14">
        <v>934878.62</v>
      </c>
      <c r="E105" s="36"/>
      <c r="F105" s="6"/>
      <c r="H105" s="12"/>
      <c r="I105" s="17"/>
      <c r="J105" s="6">
        <v>300000</v>
      </c>
    </row>
    <row r="106" spans="1:10" ht="45" customHeight="1" thickBot="1" x14ac:dyDescent="0.2">
      <c r="A106" s="12">
        <f>SUBTOTAL(3,$B$2:B106)</f>
        <v>105</v>
      </c>
      <c r="B106" s="40" t="s">
        <v>944</v>
      </c>
      <c r="C106" s="6">
        <v>52165.5</v>
      </c>
      <c r="D106" s="14">
        <v>52165.5</v>
      </c>
      <c r="E106" s="26"/>
      <c r="F106" s="6"/>
      <c r="H106" s="12"/>
      <c r="I106" s="12"/>
      <c r="J106" s="6">
        <v>0</v>
      </c>
    </row>
    <row r="107" spans="1:10" ht="45" customHeight="1" thickBot="1" x14ac:dyDescent="0.2">
      <c r="A107" s="12">
        <f>SUBTOTAL(3,$B$2:B107)</f>
        <v>106</v>
      </c>
      <c r="B107" s="40" t="s">
        <v>945</v>
      </c>
      <c r="C107" s="6">
        <v>416361</v>
      </c>
      <c r="D107" s="14">
        <v>416361</v>
      </c>
      <c r="E107" s="36"/>
      <c r="F107" s="6"/>
      <c r="H107" s="12"/>
      <c r="I107" s="17"/>
      <c r="J107" s="6">
        <v>0</v>
      </c>
    </row>
    <row r="108" spans="1:10" ht="45" customHeight="1" thickBot="1" x14ac:dyDescent="0.2">
      <c r="A108" s="12">
        <f>SUBTOTAL(3,$B$2:B108)</f>
        <v>107</v>
      </c>
      <c r="B108" s="40" t="s">
        <v>946</v>
      </c>
      <c r="C108" s="6">
        <v>21731.040000000001</v>
      </c>
      <c r="D108" s="14">
        <v>21731.040000000001</v>
      </c>
      <c r="E108" s="36"/>
      <c r="F108" s="6"/>
      <c r="H108" s="12"/>
      <c r="I108" s="12"/>
      <c r="J108" s="6">
        <v>0</v>
      </c>
    </row>
    <row r="109" spans="1:10" ht="45" customHeight="1" thickBot="1" x14ac:dyDescent="0.2">
      <c r="A109" s="12">
        <f>SUBTOTAL(3,$B$2:B109)</f>
        <v>108</v>
      </c>
      <c r="B109" s="40" t="s">
        <v>947</v>
      </c>
      <c r="C109" s="6">
        <v>631616.07999999996</v>
      </c>
      <c r="D109" s="14">
        <v>631616.07999999996</v>
      </c>
      <c r="E109" s="26"/>
      <c r="F109" s="6"/>
      <c r="H109" s="12"/>
      <c r="I109" s="12"/>
      <c r="J109" s="6">
        <v>0</v>
      </c>
    </row>
    <row r="110" spans="1:10" ht="45" customHeight="1" thickBot="1" x14ac:dyDescent="0.2">
      <c r="A110" s="12">
        <f>SUBTOTAL(3,$B$2:B110)</f>
        <v>109</v>
      </c>
      <c r="B110" s="40" t="s">
        <v>948</v>
      </c>
      <c r="C110" s="6">
        <v>439707.26</v>
      </c>
      <c r="D110" s="14">
        <v>439707.26</v>
      </c>
      <c r="E110" s="36"/>
      <c r="F110" s="6"/>
      <c r="H110" s="6"/>
      <c r="I110" s="17"/>
      <c r="J110" s="6">
        <v>0</v>
      </c>
    </row>
    <row r="111" spans="1:10" ht="45" customHeight="1" thickBot="1" x14ac:dyDescent="0.2">
      <c r="A111" s="12">
        <f>SUBTOTAL(3,$B$2:B111)</f>
        <v>110</v>
      </c>
      <c r="B111" s="40" t="s">
        <v>76</v>
      </c>
      <c r="C111" s="6">
        <v>280897.8</v>
      </c>
      <c r="D111" s="14">
        <v>280897.8</v>
      </c>
      <c r="E111" s="26"/>
      <c r="F111" s="6"/>
      <c r="H111" s="12"/>
      <c r="I111" s="12"/>
      <c r="J111" s="6">
        <v>0</v>
      </c>
    </row>
    <row r="112" spans="1:10" ht="45" customHeight="1" thickBot="1" x14ac:dyDescent="0.2">
      <c r="A112" s="12">
        <f>SUBTOTAL(3,$B$2:B112)</f>
        <v>111</v>
      </c>
      <c r="B112" s="40" t="s">
        <v>949</v>
      </c>
      <c r="C112" s="6">
        <v>731209.07000000007</v>
      </c>
      <c r="D112" s="14">
        <v>731209.07000000007</v>
      </c>
      <c r="E112" s="26"/>
      <c r="F112" s="6"/>
      <c r="H112" s="12"/>
      <c r="I112" s="12"/>
      <c r="J112" s="6">
        <v>0</v>
      </c>
    </row>
    <row r="113" spans="1:10" ht="45" customHeight="1" thickBot="1" x14ac:dyDescent="0.2">
      <c r="A113" s="12">
        <f>SUBTOTAL(3,$B$2:B113)</f>
        <v>112</v>
      </c>
      <c r="B113" s="40" t="s">
        <v>950</v>
      </c>
      <c r="C113" s="6">
        <v>64825.36</v>
      </c>
      <c r="D113" s="14">
        <v>64825.36</v>
      </c>
      <c r="E113" s="37"/>
      <c r="F113" s="6"/>
      <c r="H113" s="12"/>
      <c r="I113" s="12"/>
      <c r="J113" s="6">
        <v>0</v>
      </c>
    </row>
    <row r="114" spans="1:10" ht="45" customHeight="1" thickBot="1" x14ac:dyDescent="0.2">
      <c r="A114" s="12">
        <f>SUBTOTAL(3,$B$2:B114)</f>
        <v>113</v>
      </c>
      <c r="B114" s="40" t="s">
        <v>951</v>
      </c>
      <c r="C114" s="6">
        <v>695461.13</v>
      </c>
      <c r="D114" s="14">
        <v>695461.13</v>
      </c>
      <c r="E114" s="26"/>
      <c r="F114" s="6"/>
      <c r="H114" s="12"/>
      <c r="I114" s="12"/>
      <c r="J114" s="6">
        <v>0</v>
      </c>
    </row>
    <row r="115" spans="1:10" ht="45" customHeight="1" thickBot="1" x14ac:dyDescent="0.2">
      <c r="A115" s="12">
        <f>SUBTOTAL(3,$B$2:B115)</f>
        <v>114</v>
      </c>
      <c r="B115" s="40" t="s">
        <v>952</v>
      </c>
      <c r="C115" s="6">
        <v>23361</v>
      </c>
      <c r="D115" s="14">
        <v>23361</v>
      </c>
      <c r="E115" s="36"/>
      <c r="F115" s="6"/>
      <c r="H115" s="12"/>
      <c r="I115" s="12"/>
      <c r="J115" s="6">
        <v>0</v>
      </c>
    </row>
    <row r="116" spans="1:10" ht="45" customHeight="1" thickBot="1" x14ac:dyDescent="0.2">
      <c r="A116" s="12">
        <f>SUBTOTAL(3,$B$2:B116)</f>
        <v>115</v>
      </c>
      <c r="B116" s="40" t="s">
        <v>953</v>
      </c>
      <c r="C116" s="6">
        <v>89952.69</v>
      </c>
      <c r="D116" s="14">
        <v>89952.69</v>
      </c>
      <c r="E116" s="26"/>
      <c r="F116" s="6"/>
      <c r="H116" s="12"/>
      <c r="I116" s="12"/>
      <c r="J116" s="6">
        <v>0</v>
      </c>
    </row>
    <row r="117" spans="1:10" ht="45" customHeight="1" thickBot="1" x14ac:dyDescent="0.2">
      <c r="A117" s="12">
        <f>SUBTOTAL(3,$B$2:B117)</f>
        <v>116</v>
      </c>
      <c r="B117" s="40" t="s">
        <v>954</v>
      </c>
      <c r="C117" s="6">
        <v>601413.9</v>
      </c>
      <c r="D117" s="14">
        <v>601413.9</v>
      </c>
      <c r="E117" s="26"/>
      <c r="F117" s="6"/>
      <c r="H117" s="12"/>
      <c r="I117" s="12"/>
      <c r="J117" s="6">
        <v>0</v>
      </c>
    </row>
    <row r="118" spans="1:10" ht="45" customHeight="1" thickBot="1" x14ac:dyDescent="0.2">
      <c r="A118" s="12">
        <f>SUBTOTAL(3,$B$2:B118)</f>
        <v>117</v>
      </c>
      <c r="B118" s="40" t="s">
        <v>955</v>
      </c>
      <c r="C118" s="6">
        <v>160650.54999999999</v>
      </c>
      <c r="D118" s="14">
        <v>160650.54999999999</v>
      </c>
      <c r="E118" s="26"/>
      <c r="F118" s="6"/>
      <c r="H118" s="12"/>
      <c r="I118" s="12"/>
      <c r="J118" s="6">
        <v>0</v>
      </c>
    </row>
    <row r="119" spans="1:10" ht="45" customHeight="1" thickBot="1" x14ac:dyDescent="0.2">
      <c r="A119" s="12">
        <f>SUBTOTAL(3,$B$2:B119)</f>
        <v>118</v>
      </c>
      <c r="B119" s="40" t="s">
        <v>956</v>
      </c>
      <c r="C119" s="6">
        <v>20337</v>
      </c>
      <c r="D119" s="14">
        <v>20337</v>
      </c>
      <c r="E119" s="26"/>
      <c r="F119" s="6"/>
      <c r="H119" s="12"/>
      <c r="I119" s="12"/>
      <c r="J119" s="6">
        <v>0</v>
      </c>
    </row>
    <row r="120" spans="1:10" ht="45" customHeight="1" thickBot="1" x14ac:dyDescent="0.2">
      <c r="A120" s="12">
        <f>SUBTOTAL(3,$B$2:B120)</f>
        <v>119</v>
      </c>
      <c r="B120" s="40" t="s">
        <v>957</v>
      </c>
      <c r="C120" s="6">
        <v>787240</v>
      </c>
      <c r="D120" s="14">
        <v>0</v>
      </c>
      <c r="E120" s="36" t="s">
        <v>1134</v>
      </c>
      <c r="F120" s="6"/>
      <c r="G120" s="12" t="s">
        <v>1276</v>
      </c>
      <c r="H120" s="6" t="s">
        <v>1277</v>
      </c>
      <c r="I120" s="12"/>
      <c r="J120" s="6">
        <v>1256680</v>
      </c>
    </row>
    <row r="121" spans="1:10" ht="45" customHeight="1" thickBot="1" x14ac:dyDescent="0.2">
      <c r="A121" s="12">
        <f>SUBTOTAL(3,$B$2:B121)</f>
        <v>120</v>
      </c>
      <c r="B121" s="40" t="s">
        <v>958</v>
      </c>
      <c r="C121" s="6">
        <v>150806.15</v>
      </c>
      <c r="D121" s="14">
        <v>150806.15</v>
      </c>
      <c r="E121" s="36"/>
      <c r="F121" s="6"/>
      <c r="H121" s="12"/>
      <c r="I121" s="17"/>
      <c r="J121" s="6">
        <v>0</v>
      </c>
    </row>
    <row r="122" spans="1:10" ht="45" customHeight="1" thickBot="1" x14ac:dyDescent="0.2">
      <c r="A122" s="12">
        <f>SUBTOTAL(3,$B$2:B122)</f>
        <v>121</v>
      </c>
      <c r="B122" s="40" t="s">
        <v>959</v>
      </c>
      <c r="C122" s="6">
        <v>5979.53</v>
      </c>
      <c r="D122" s="14">
        <v>5979.53</v>
      </c>
      <c r="E122" s="26"/>
      <c r="F122" s="6"/>
      <c r="H122" s="12"/>
      <c r="I122" s="12"/>
      <c r="J122" s="6">
        <v>0</v>
      </c>
    </row>
    <row r="123" spans="1:10" ht="45" customHeight="1" thickBot="1" x14ac:dyDescent="0.2">
      <c r="A123" s="12">
        <f>SUBTOTAL(3,$B$2:B123)</f>
        <v>122</v>
      </c>
      <c r="B123" s="40" t="s">
        <v>960</v>
      </c>
      <c r="C123" s="6">
        <v>37438.26</v>
      </c>
      <c r="D123" s="14">
        <v>37438.26</v>
      </c>
      <c r="E123" s="26"/>
      <c r="F123" s="6"/>
      <c r="H123" s="12"/>
      <c r="I123" s="12"/>
      <c r="J123" s="6">
        <v>0</v>
      </c>
    </row>
    <row r="124" spans="1:10" ht="45" customHeight="1" thickBot="1" x14ac:dyDescent="0.2">
      <c r="A124" s="12">
        <f>SUBTOTAL(3,$B$2:B124)</f>
        <v>123</v>
      </c>
      <c r="B124" s="40" t="s">
        <v>961</v>
      </c>
      <c r="C124" s="6">
        <v>6758.84</v>
      </c>
      <c r="D124" s="14">
        <v>6758.84</v>
      </c>
      <c r="E124" s="36"/>
      <c r="F124" s="6"/>
      <c r="H124" s="12"/>
      <c r="I124" s="12"/>
      <c r="J124" s="6">
        <v>0</v>
      </c>
    </row>
    <row r="125" spans="1:10" ht="45" customHeight="1" thickBot="1" x14ac:dyDescent="0.2">
      <c r="A125" s="12">
        <f>SUBTOTAL(3,$B$2:B125)</f>
        <v>124</v>
      </c>
      <c r="B125" s="40" t="s">
        <v>962</v>
      </c>
      <c r="C125" s="6">
        <v>7976.92</v>
      </c>
      <c r="D125" s="14">
        <v>7976.92</v>
      </c>
      <c r="E125" s="26"/>
      <c r="F125" s="6"/>
      <c r="H125" s="12"/>
      <c r="I125" s="12"/>
      <c r="J125" s="6">
        <v>0</v>
      </c>
    </row>
    <row r="126" spans="1:10" ht="45" customHeight="1" thickBot="1" x14ac:dyDescent="0.2">
      <c r="A126" s="12">
        <f>SUBTOTAL(3,$B$2:B126)</f>
        <v>125</v>
      </c>
      <c r="B126" s="40" t="s">
        <v>963</v>
      </c>
      <c r="C126" s="6">
        <v>50711.07</v>
      </c>
      <c r="D126" s="14">
        <v>50711.07</v>
      </c>
      <c r="E126" s="26"/>
      <c r="F126" s="6"/>
      <c r="H126" s="12"/>
      <c r="I126" s="12"/>
      <c r="J126" s="6">
        <v>0</v>
      </c>
    </row>
    <row r="127" spans="1:10" ht="45" customHeight="1" thickBot="1" x14ac:dyDescent="0.2">
      <c r="A127" s="12">
        <f>SUBTOTAL(3,$B$2:B127)</f>
        <v>126</v>
      </c>
      <c r="B127" s="40" t="s">
        <v>964</v>
      </c>
      <c r="C127" s="6">
        <v>14648.93</v>
      </c>
      <c r="D127" s="14">
        <v>14648.93</v>
      </c>
      <c r="E127" s="26"/>
      <c r="F127" s="6"/>
      <c r="H127" s="12"/>
      <c r="I127" s="12"/>
      <c r="J127" s="6">
        <v>0</v>
      </c>
    </row>
    <row r="128" spans="1:10" ht="45" customHeight="1" thickBot="1" x14ac:dyDescent="0.2">
      <c r="A128" s="12">
        <f>SUBTOTAL(3,$B$2:B128)</f>
        <v>127</v>
      </c>
      <c r="B128" s="40" t="s">
        <v>965</v>
      </c>
      <c r="C128" s="6">
        <v>20380821.649999999</v>
      </c>
      <c r="D128" s="14">
        <v>8843028.5199999996</v>
      </c>
      <c r="E128" s="37" t="s">
        <v>1257</v>
      </c>
      <c r="F128" s="6"/>
      <c r="H128" s="12"/>
      <c r="I128" s="12"/>
      <c r="J128" s="6">
        <v>32961084</v>
      </c>
    </row>
    <row r="129" spans="1:10" ht="45" customHeight="1" thickBot="1" x14ac:dyDescent="0.2">
      <c r="A129" s="12">
        <f>SUBTOTAL(3,$B$2:B129)</f>
        <v>128</v>
      </c>
      <c r="B129" s="40" t="s">
        <v>966</v>
      </c>
      <c r="C129" s="6">
        <v>162500</v>
      </c>
      <c r="D129" s="14">
        <v>162500</v>
      </c>
      <c r="E129" s="26"/>
      <c r="F129" s="6"/>
      <c r="H129" s="12"/>
      <c r="I129" s="12"/>
      <c r="J129" s="6">
        <v>0</v>
      </c>
    </row>
    <row r="130" spans="1:10" ht="45" customHeight="1" thickBot="1" x14ac:dyDescent="0.2">
      <c r="A130" s="12">
        <f>SUBTOTAL(3,$B$2:B130)</f>
        <v>129</v>
      </c>
      <c r="B130" s="40" t="s">
        <v>967</v>
      </c>
      <c r="C130" s="6">
        <v>230450</v>
      </c>
      <c r="D130" s="14">
        <v>230450</v>
      </c>
      <c r="E130" s="26"/>
      <c r="F130" s="6"/>
      <c r="H130" s="12"/>
      <c r="I130" s="12"/>
      <c r="J130" s="6">
        <v>0</v>
      </c>
    </row>
    <row r="131" spans="1:10" ht="45" customHeight="1" thickBot="1" x14ac:dyDescent="0.2">
      <c r="A131" s="12">
        <f>SUBTOTAL(3,$B$2:B131)</f>
        <v>130</v>
      </c>
      <c r="B131" s="40" t="s">
        <v>968</v>
      </c>
      <c r="C131" s="6">
        <v>851288.3</v>
      </c>
      <c r="D131" s="14">
        <v>851288.3</v>
      </c>
      <c r="E131" s="36" t="s">
        <v>1134</v>
      </c>
      <c r="F131" s="6"/>
      <c r="G131" s="12" t="s">
        <v>1242</v>
      </c>
      <c r="H131" s="6" t="s">
        <v>1170</v>
      </c>
      <c r="I131" s="12" t="s">
        <v>1169</v>
      </c>
      <c r="J131" s="6">
        <v>0</v>
      </c>
    </row>
    <row r="132" spans="1:10" ht="45" customHeight="1" thickBot="1" x14ac:dyDescent="0.2">
      <c r="A132" s="12">
        <f>SUBTOTAL(3,$B$2:B132)</f>
        <v>131</v>
      </c>
      <c r="B132" s="40" t="s">
        <v>969</v>
      </c>
      <c r="C132" s="6">
        <v>1130613.06</v>
      </c>
      <c r="D132" s="14">
        <v>1130613.06</v>
      </c>
      <c r="E132" s="26"/>
      <c r="F132" s="6"/>
      <c r="H132" s="12"/>
      <c r="I132" s="12"/>
      <c r="J132" s="6">
        <v>0</v>
      </c>
    </row>
    <row r="133" spans="1:10" ht="45" customHeight="1" thickBot="1" x14ac:dyDescent="0.2">
      <c r="A133" s="12">
        <f>SUBTOTAL(3,$B$2:B133)</f>
        <v>132</v>
      </c>
      <c r="B133" s="40" t="s">
        <v>970</v>
      </c>
      <c r="C133" s="6">
        <v>71573.98</v>
      </c>
      <c r="D133" s="14">
        <v>71573.98</v>
      </c>
      <c r="E133" s="26"/>
      <c r="F133" s="6"/>
      <c r="H133" s="12"/>
      <c r="I133" s="12"/>
      <c r="J133" s="6">
        <v>0</v>
      </c>
    </row>
    <row r="134" spans="1:10" ht="45" customHeight="1" thickBot="1" x14ac:dyDescent="0.2">
      <c r="A134" s="12">
        <f>SUBTOTAL(3,$B$2:B134)</f>
        <v>133</v>
      </c>
      <c r="B134" s="40" t="s">
        <v>971</v>
      </c>
      <c r="C134" s="6">
        <v>59570</v>
      </c>
      <c r="D134" s="14">
        <v>59570</v>
      </c>
      <c r="E134" s="26"/>
      <c r="F134" s="6"/>
      <c r="H134" s="12"/>
      <c r="I134" s="12"/>
      <c r="J134" s="6">
        <v>0</v>
      </c>
    </row>
    <row r="135" spans="1:10" ht="45" customHeight="1" thickBot="1" x14ac:dyDescent="0.2">
      <c r="A135" s="12">
        <f>SUBTOTAL(3,$B$2:B135)</f>
        <v>134</v>
      </c>
      <c r="B135" s="40" t="s">
        <v>972</v>
      </c>
      <c r="C135" s="6">
        <v>541830.76</v>
      </c>
      <c r="D135" s="14">
        <v>0.76</v>
      </c>
      <c r="E135" s="26"/>
      <c r="F135" s="6"/>
      <c r="H135" s="12"/>
      <c r="I135" s="12"/>
      <c r="J135" s="6">
        <v>60000</v>
      </c>
    </row>
    <row r="136" spans="1:10" ht="45" customHeight="1" thickBot="1" x14ac:dyDescent="0.2">
      <c r="A136" s="12">
        <f>SUBTOTAL(3,$B$2:B136)</f>
        <v>135</v>
      </c>
      <c r="B136" s="40" t="s">
        <v>973</v>
      </c>
      <c r="C136" s="6">
        <v>21253.260000000002</v>
      </c>
      <c r="D136" s="14">
        <v>118063.26000000001</v>
      </c>
      <c r="E136" s="36"/>
      <c r="F136" s="6"/>
      <c r="H136" s="12"/>
      <c r="I136" s="12"/>
      <c r="J136" s="6">
        <v>96810</v>
      </c>
    </row>
    <row r="137" spans="1:10" ht="45" customHeight="1" thickBot="1" x14ac:dyDescent="0.2">
      <c r="A137" s="12">
        <f>SUBTOTAL(3,$B$2:B137)</f>
        <v>136</v>
      </c>
      <c r="B137" s="40" t="s">
        <v>974</v>
      </c>
      <c r="C137" s="6">
        <v>73705</v>
      </c>
      <c r="D137" s="14">
        <v>73705</v>
      </c>
      <c r="E137" s="26"/>
      <c r="F137" s="6"/>
      <c r="H137" s="12"/>
      <c r="I137" s="12"/>
      <c r="J137" s="6">
        <v>0</v>
      </c>
    </row>
    <row r="138" spans="1:10" ht="45" customHeight="1" thickBot="1" x14ac:dyDescent="0.2">
      <c r="A138" s="12">
        <f>SUBTOTAL(3,$B$2:B138)</f>
        <v>137</v>
      </c>
      <c r="B138" s="40" t="s">
        <v>975</v>
      </c>
      <c r="C138" s="6">
        <v>31982.14</v>
      </c>
      <c r="D138" s="14">
        <v>31982.14</v>
      </c>
      <c r="E138" s="26"/>
      <c r="F138" s="6"/>
      <c r="H138" s="12"/>
      <c r="I138" s="12"/>
      <c r="J138" s="6">
        <v>0</v>
      </c>
    </row>
    <row r="139" spans="1:10" ht="45" customHeight="1" thickBot="1" x14ac:dyDescent="0.2">
      <c r="A139" s="12">
        <f>SUBTOTAL(3,$B$2:B139)</f>
        <v>138</v>
      </c>
      <c r="B139" s="40" t="s">
        <v>976</v>
      </c>
      <c r="C139" s="6">
        <v>3084801.32</v>
      </c>
      <c r="D139" s="14">
        <v>3655925.86</v>
      </c>
      <c r="E139" s="36"/>
      <c r="F139" s="6"/>
      <c r="H139" s="12"/>
      <c r="I139" s="12"/>
      <c r="J139" s="6">
        <v>518000</v>
      </c>
    </row>
    <row r="140" spans="1:10" ht="45" customHeight="1" thickBot="1" x14ac:dyDescent="0.2">
      <c r="A140" s="12">
        <f>SUBTOTAL(3,$B$2:B140)</f>
        <v>139</v>
      </c>
      <c r="B140" s="40" t="s">
        <v>977</v>
      </c>
      <c r="C140" s="6">
        <v>130639.12000000001</v>
      </c>
      <c r="D140" s="14">
        <v>130639.12000000001</v>
      </c>
      <c r="E140" s="36"/>
      <c r="F140" s="6"/>
      <c r="H140" s="12"/>
      <c r="I140" s="12"/>
      <c r="J140" s="6">
        <v>0</v>
      </c>
    </row>
    <row r="141" spans="1:10" ht="45" customHeight="1" thickBot="1" x14ac:dyDescent="0.2">
      <c r="A141" s="12">
        <f>SUBTOTAL(3,$B$2:B141)</f>
        <v>140</v>
      </c>
      <c r="B141" s="40" t="s">
        <v>978</v>
      </c>
      <c r="C141" s="6">
        <v>158055.32999999999</v>
      </c>
      <c r="D141" s="14">
        <v>158055.32999999999</v>
      </c>
      <c r="E141" s="37"/>
      <c r="F141" s="6"/>
      <c r="H141" s="12"/>
      <c r="I141" s="12"/>
      <c r="J141" s="6">
        <v>0</v>
      </c>
    </row>
    <row r="142" spans="1:10" ht="45" customHeight="1" thickBot="1" x14ac:dyDescent="0.2">
      <c r="A142" s="12">
        <f>SUBTOTAL(3,$B$2:B142)</f>
        <v>141</v>
      </c>
      <c r="B142" s="40" t="s">
        <v>979</v>
      </c>
      <c r="C142" s="6">
        <v>246484.79</v>
      </c>
      <c r="D142" s="14">
        <v>246484.79</v>
      </c>
      <c r="E142" s="36"/>
      <c r="F142" s="6"/>
      <c r="H142" s="12"/>
      <c r="I142" s="12"/>
      <c r="J142" s="6">
        <v>0</v>
      </c>
    </row>
    <row r="143" spans="1:10" ht="45" customHeight="1" thickBot="1" x14ac:dyDescent="0.2">
      <c r="A143" s="12">
        <f>SUBTOTAL(3,$B$2:B143)</f>
        <v>142</v>
      </c>
      <c r="B143" s="40" t="s">
        <v>980</v>
      </c>
      <c r="C143" s="6">
        <v>37172169.219999999</v>
      </c>
      <c r="D143" s="14">
        <v>25916266.330000002</v>
      </c>
      <c r="E143" s="26"/>
      <c r="F143" s="6"/>
      <c r="H143" s="12"/>
      <c r="I143" s="12"/>
      <c r="J143" s="6">
        <v>33086265</v>
      </c>
    </row>
    <row r="144" spans="1:10" ht="45" customHeight="1" thickBot="1" x14ac:dyDescent="0.2">
      <c r="A144" s="12">
        <f>SUBTOTAL(3,$B$2:B144)</f>
        <v>143</v>
      </c>
      <c r="B144" s="40" t="s">
        <v>981</v>
      </c>
      <c r="C144" s="6">
        <v>712276.18</v>
      </c>
      <c r="D144" s="14">
        <v>547348</v>
      </c>
      <c r="E144" s="26" t="s">
        <v>1252</v>
      </c>
      <c r="F144" s="6"/>
      <c r="H144" s="12"/>
      <c r="I144" s="12"/>
      <c r="J144" s="6">
        <v>646376</v>
      </c>
    </row>
    <row r="145" spans="1:10" ht="45" customHeight="1" thickBot="1" x14ac:dyDescent="0.2">
      <c r="A145" s="12">
        <f>SUBTOTAL(3,$B$2:B145)</f>
        <v>144</v>
      </c>
      <c r="B145" s="40" t="s">
        <v>982</v>
      </c>
      <c r="C145" s="6">
        <v>103000</v>
      </c>
      <c r="D145" s="14">
        <v>103000</v>
      </c>
      <c r="E145" s="26"/>
      <c r="F145" s="6"/>
      <c r="H145" s="12"/>
      <c r="I145" s="12"/>
      <c r="J145" s="6">
        <v>0</v>
      </c>
    </row>
    <row r="146" spans="1:10" ht="45" customHeight="1" thickBot="1" x14ac:dyDescent="0.2">
      <c r="A146" s="12">
        <f>SUBTOTAL(3,$B$2:B146)</f>
        <v>145</v>
      </c>
      <c r="B146" s="40" t="s">
        <v>983</v>
      </c>
      <c r="C146" s="6">
        <v>103800</v>
      </c>
      <c r="D146" s="14">
        <v>103800</v>
      </c>
      <c r="E146" s="26"/>
      <c r="F146" s="6"/>
      <c r="H146" s="12"/>
      <c r="I146" s="12"/>
      <c r="J146" s="6">
        <v>0</v>
      </c>
    </row>
    <row r="147" spans="1:10" ht="45" customHeight="1" thickBot="1" x14ac:dyDescent="0.2">
      <c r="A147" s="12">
        <f>SUBTOTAL(3,$B$2:B147)</f>
        <v>146</v>
      </c>
      <c r="B147" s="40" t="s">
        <v>984</v>
      </c>
      <c r="C147" s="6">
        <v>518924.26</v>
      </c>
      <c r="D147" s="14">
        <v>518924.26</v>
      </c>
      <c r="E147" s="36"/>
      <c r="F147" s="6"/>
      <c r="H147" s="6"/>
      <c r="I147" s="12"/>
      <c r="J147" s="6">
        <v>0</v>
      </c>
    </row>
    <row r="148" spans="1:10" ht="45" customHeight="1" thickBot="1" x14ac:dyDescent="0.2">
      <c r="A148" s="12">
        <f>SUBTOTAL(3,$B$2:B148)</f>
        <v>147</v>
      </c>
      <c r="B148" s="40" t="s">
        <v>985</v>
      </c>
      <c r="C148" s="6">
        <v>316551.7</v>
      </c>
      <c r="D148" s="14">
        <v>316551.7</v>
      </c>
      <c r="E148" s="36"/>
      <c r="F148" s="6"/>
      <c r="H148" s="12"/>
      <c r="I148" s="12"/>
      <c r="J148" s="6">
        <v>0</v>
      </c>
    </row>
    <row r="149" spans="1:10" ht="45" customHeight="1" thickBot="1" x14ac:dyDescent="0.2">
      <c r="A149" s="12">
        <f>SUBTOTAL(3,$B$2:B149)</f>
        <v>148</v>
      </c>
      <c r="B149" s="40" t="s">
        <v>986</v>
      </c>
      <c r="C149" s="6">
        <v>2143292.7400000002</v>
      </c>
      <c r="D149" s="14">
        <v>2190180.98</v>
      </c>
      <c r="E149" s="37" t="s">
        <v>1251</v>
      </c>
      <c r="F149" s="6"/>
      <c r="H149" s="12"/>
      <c r="I149" s="12"/>
      <c r="J149" s="6">
        <v>0</v>
      </c>
    </row>
    <row r="150" spans="1:10" ht="45" customHeight="1" thickBot="1" x14ac:dyDescent="0.2">
      <c r="A150" s="12">
        <f>SUBTOTAL(3,$B$2:B150)</f>
        <v>149</v>
      </c>
      <c r="B150" s="40" t="s">
        <v>987</v>
      </c>
      <c r="C150" s="6">
        <v>60000</v>
      </c>
      <c r="D150" s="14">
        <v>60000</v>
      </c>
      <c r="E150" s="26"/>
      <c r="F150" s="6"/>
      <c r="H150" s="12"/>
      <c r="I150" s="12"/>
      <c r="J150" s="6">
        <v>0</v>
      </c>
    </row>
    <row r="151" spans="1:10" ht="45" customHeight="1" thickBot="1" x14ac:dyDescent="0.2">
      <c r="A151" s="12">
        <f>SUBTOTAL(3,$B$2:B151)</f>
        <v>150</v>
      </c>
      <c r="B151" s="40" t="s">
        <v>286</v>
      </c>
      <c r="C151" s="6">
        <v>192561.1</v>
      </c>
      <c r="D151" s="14">
        <v>192561.1</v>
      </c>
      <c r="E151" s="26"/>
      <c r="F151" s="6"/>
      <c r="H151" s="12"/>
      <c r="I151" s="12"/>
      <c r="J151" s="6">
        <v>0</v>
      </c>
    </row>
    <row r="152" spans="1:10" ht="45" customHeight="1" thickBot="1" x14ac:dyDescent="0.2">
      <c r="A152" s="12">
        <f>SUBTOTAL(3,$B$2:B152)</f>
        <v>151</v>
      </c>
      <c r="B152" s="40" t="s">
        <v>988</v>
      </c>
      <c r="C152" s="6">
        <v>8712847.4100000001</v>
      </c>
      <c r="D152" s="14">
        <v>4569008.1100000003</v>
      </c>
      <c r="E152" s="26" t="s">
        <v>1251</v>
      </c>
      <c r="F152" s="6"/>
      <c r="H152" s="12"/>
      <c r="I152" s="12"/>
      <c r="J152" s="6">
        <v>0</v>
      </c>
    </row>
    <row r="153" spans="1:10" ht="45" customHeight="1" thickBot="1" x14ac:dyDescent="0.2">
      <c r="A153" s="12">
        <f>SUBTOTAL(3,$B$2:B153)</f>
        <v>152</v>
      </c>
      <c r="B153" s="40" t="s">
        <v>989</v>
      </c>
      <c r="C153" s="6">
        <v>4104571.19</v>
      </c>
      <c r="D153" s="14">
        <v>2314491.19</v>
      </c>
      <c r="E153" s="36"/>
      <c r="F153" s="6"/>
      <c r="H153" s="12"/>
      <c r="I153" s="12"/>
      <c r="J153" s="6">
        <v>590000</v>
      </c>
    </row>
    <row r="154" spans="1:10" ht="45" customHeight="1" thickBot="1" x14ac:dyDescent="0.2">
      <c r="A154" s="12">
        <f>SUBTOTAL(3,$B$2:B154)</f>
        <v>153</v>
      </c>
      <c r="B154" s="40" t="s">
        <v>990</v>
      </c>
      <c r="C154" s="6">
        <v>256029.08000000002</v>
      </c>
      <c r="D154" s="14">
        <v>296029.08</v>
      </c>
      <c r="E154" s="26"/>
      <c r="F154" s="6"/>
      <c r="H154" s="12"/>
      <c r="I154" s="12"/>
      <c r="J154" s="6">
        <v>40000</v>
      </c>
    </row>
    <row r="155" spans="1:10" ht="45" customHeight="1" thickBot="1" x14ac:dyDescent="0.2">
      <c r="A155" s="12">
        <f>SUBTOTAL(3,$B$2:B155)</f>
        <v>154</v>
      </c>
      <c r="B155" s="40" t="s">
        <v>991</v>
      </c>
      <c r="C155" s="6">
        <v>1722303.8800000001</v>
      </c>
      <c r="D155" s="14">
        <v>378659.88</v>
      </c>
      <c r="E155" s="26"/>
      <c r="F155" s="6"/>
      <c r="H155" s="12"/>
      <c r="I155" s="12"/>
      <c r="J155" s="6">
        <v>378660</v>
      </c>
    </row>
    <row r="156" spans="1:10" ht="45" customHeight="1" thickBot="1" x14ac:dyDescent="0.2">
      <c r="A156" s="12">
        <f>SUBTOTAL(3,$B$2:B156)</f>
        <v>155</v>
      </c>
      <c r="B156" s="40" t="s">
        <v>992</v>
      </c>
      <c r="C156" s="6">
        <v>233260</v>
      </c>
      <c r="D156" s="14">
        <v>243260</v>
      </c>
      <c r="E156" s="26" t="s">
        <v>1134</v>
      </c>
      <c r="F156" s="6"/>
      <c r="G156" s="12" t="s">
        <v>1203</v>
      </c>
      <c r="H156" s="42" t="s">
        <v>1215</v>
      </c>
      <c r="I156" s="12"/>
      <c r="J156" s="6">
        <v>10000</v>
      </c>
    </row>
    <row r="157" spans="1:10" ht="45" customHeight="1" thickBot="1" x14ac:dyDescent="0.2">
      <c r="A157" s="12">
        <f>SUBTOTAL(3,$B$2:B157)</f>
        <v>156</v>
      </c>
      <c r="B157" s="40" t="s">
        <v>993</v>
      </c>
      <c r="C157" s="6">
        <v>1101054.83</v>
      </c>
      <c r="D157" s="14">
        <v>716465.4</v>
      </c>
      <c r="E157" s="26"/>
      <c r="F157" s="6"/>
      <c r="H157" s="12"/>
      <c r="I157" s="12"/>
      <c r="J157" s="6">
        <v>0</v>
      </c>
    </row>
    <row r="158" spans="1:10" ht="45" customHeight="1" thickBot="1" x14ac:dyDescent="0.2">
      <c r="A158" s="12">
        <f>SUBTOTAL(3,$B$2:B158)</f>
        <v>157</v>
      </c>
      <c r="B158" s="40" t="s">
        <v>994</v>
      </c>
      <c r="C158" s="6">
        <v>12856909.73</v>
      </c>
      <c r="D158" s="14">
        <v>7470091.7300000004</v>
      </c>
      <c r="E158" s="36" t="s">
        <v>1134</v>
      </c>
      <c r="F158" s="6"/>
      <c r="G158" s="12" t="s">
        <v>1202</v>
      </c>
      <c r="H158" s="42" t="s">
        <v>1216</v>
      </c>
      <c r="I158" s="17"/>
      <c r="J158" s="6">
        <v>8178700</v>
      </c>
    </row>
    <row r="159" spans="1:10" ht="45" customHeight="1" thickBot="1" x14ac:dyDescent="0.2">
      <c r="A159" s="12">
        <f>SUBTOTAL(3,$B$2:B159)</f>
        <v>158</v>
      </c>
      <c r="B159" s="40" t="s">
        <v>995</v>
      </c>
      <c r="C159" s="6">
        <v>0.36</v>
      </c>
      <c r="D159" s="14">
        <v>50880.36</v>
      </c>
      <c r="E159" s="36" t="s">
        <v>1134</v>
      </c>
      <c r="F159" s="6"/>
      <c r="G159" s="12" t="s">
        <v>1187</v>
      </c>
      <c r="H159" s="42" t="s">
        <v>1226</v>
      </c>
      <c r="I159" s="12"/>
      <c r="J159" s="6">
        <v>50880</v>
      </c>
    </row>
    <row r="160" spans="1:10" ht="45" customHeight="1" thickBot="1" x14ac:dyDescent="0.2">
      <c r="A160" s="12">
        <f>SUBTOTAL(3,$B$2:B160)</f>
        <v>159</v>
      </c>
      <c r="B160" s="40" t="s">
        <v>996</v>
      </c>
      <c r="C160" s="6">
        <v>1078914.8799999999</v>
      </c>
      <c r="D160" s="14">
        <v>923584.88</v>
      </c>
      <c r="E160" s="36" t="s">
        <v>1144</v>
      </c>
      <c r="F160" s="6"/>
      <c r="G160" s="12" t="s">
        <v>1155</v>
      </c>
      <c r="H160" s="12"/>
      <c r="I160" s="12"/>
      <c r="J160" s="6">
        <v>1186014</v>
      </c>
    </row>
    <row r="161" spans="1:10" ht="45" customHeight="1" thickBot="1" x14ac:dyDescent="0.2">
      <c r="A161" s="12">
        <f>SUBTOTAL(3,$B$2:B161)</f>
        <v>160</v>
      </c>
      <c r="B161" s="40" t="s">
        <v>449</v>
      </c>
      <c r="C161" s="6">
        <v>746699.39</v>
      </c>
      <c r="D161" s="14">
        <v>746699.39</v>
      </c>
      <c r="E161" s="37" t="s">
        <v>1251</v>
      </c>
      <c r="F161" s="6"/>
      <c r="H161" s="12"/>
      <c r="I161" s="12"/>
      <c r="J161" s="6">
        <v>0</v>
      </c>
    </row>
    <row r="162" spans="1:10" ht="45" customHeight="1" thickBot="1" x14ac:dyDescent="0.2">
      <c r="A162" s="12">
        <f>SUBTOTAL(3,$B$2:B162)</f>
        <v>161</v>
      </c>
      <c r="B162" s="40" t="s">
        <v>997</v>
      </c>
      <c r="C162" s="6">
        <v>3171141.93</v>
      </c>
      <c r="D162" s="14">
        <v>3671141.93</v>
      </c>
      <c r="E162" s="26"/>
      <c r="F162" s="6"/>
      <c r="H162" s="12"/>
      <c r="I162" s="12"/>
      <c r="J162" s="6">
        <v>500000</v>
      </c>
    </row>
    <row r="163" spans="1:10" ht="45" customHeight="1" thickBot="1" x14ac:dyDescent="0.2">
      <c r="A163" s="12">
        <f>SUBTOTAL(3,$B$2:B163)</f>
        <v>162</v>
      </c>
      <c r="B163" s="40" t="s">
        <v>998</v>
      </c>
      <c r="C163" s="6">
        <v>1202136.24</v>
      </c>
      <c r="D163" s="14">
        <v>358572.96</v>
      </c>
      <c r="E163" s="26" t="s">
        <v>1134</v>
      </c>
      <c r="F163" s="6"/>
      <c r="G163" s="12" t="s">
        <v>1198</v>
      </c>
      <c r="H163" s="42" t="s">
        <v>1217</v>
      </c>
      <c r="I163" s="12"/>
      <c r="J163" s="6">
        <v>4998458</v>
      </c>
    </row>
    <row r="164" spans="1:10" ht="45" customHeight="1" thickBot="1" x14ac:dyDescent="0.2">
      <c r="A164" s="12">
        <f>SUBTOTAL(3,$B$2:B164)</f>
        <v>163</v>
      </c>
      <c r="B164" s="40" t="s">
        <v>999</v>
      </c>
      <c r="C164" s="6">
        <v>-0.5</v>
      </c>
      <c r="D164" s="14">
        <v>1411480.5</v>
      </c>
      <c r="E164" s="26" t="s">
        <v>1134</v>
      </c>
      <c r="F164" s="6"/>
      <c r="G164" s="12" t="s">
        <v>1175</v>
      </c>
      <c r="H164" s="42" t="s">
        <v>1238</v>
      </c>
      <c r="I164" s="12"/>
      <c r="J164" s="6">
        <v>1246713</v>
      </c>
    </row>
    <row r="165" spans="1:10" ht="45" customHeight="1" thickBot="1" x14ac:dyDescent="0.2">
      <c r="A165" s="12">
        <f>SUBTOTAL(3,$B$2:B165)</f>
        <v>164</v>
      </c>
      <c r="B165" s="40" t="s">
        <v>1000</v>
      </c>
      <c r="C165" s="6">
        <v>2468299.08</v>
      </c>
      <c r="D165" s="14">
        <v>2484949.08</v>
      </c>
      <c r="E165" s="26" t="s">
        <v>1252</v>
      </c>
      <c r="F165" s="6"/>
      <c r="H165" s="12"/>
      <c r="I165" s="12" t="s">
        <v>1253</v>
      </c>
      <c r="J165" s="6">
        <v>116650</v>
      </c>
    </row>
    <row r="166" spans="1:10" ht="45" customHeight="1" thickBot="1" x14ac:dyDescent="0.2">
      <c r="A166" s="12">
        <f>SUBTOTAL(3,$B$2:B166)</f>
        <v>165</v>
      </c>
      <c r="B166" s="40" t="s">
        <v>1001</v>
      </c>
      <c r="C166" s="6">
        <v>13308599.060000001</v>
      </c>
      <c r="D166" s="14">
        <v>18024565.059999999</v>
      </c>
      <c r="E166" s="26"/>
      <c r="F166" s="6"/>
      <c r="H166" s="12"/>
      <c r="I166" s="12"/>
      <c r="J166" s="6">
        <v>22024565</v>
      </c>
    </row>
    <row r="167" spans="1:10" ht="45" customHeight="1" thickBot="1" x14ac:dyDescent="0.2">
      <c r="A167" s="12">
        <f>SUBTOTAL(3,$B$2:B167)</f>
        <v>166</v>
      </c>
      <c r="B167" s="40" t="s">
        <v>1002</v>
      </c>
      <c r="C167" s="6">
        <v>10356273.880000001</v>
      </c>
      <c r="D167" s="14">
        <v>11434526.870000001</v>
      </c>
      <c r="E167" s="26" t="s">
        <v>1257</v>
      </c>
      <c r="F167" s="6"/>
      <c r="H167" s="12"/>
      <c r="I167" s="12"/>
      <c r="J167" s="6">
        <v>21246912.579999998</v>
      </c>
    </row>
    <row r="168" spans="1:10" ht="45" customHeight="1" thickBot="1" x14ac:dyDescent="0.2">
      <c r="A168" s="12">
        <f>SUBTOTAL(3,$B$2:B168)</f>
        <v>167</v>
      </c>
      <c r="B168" s="40" t="s">
        <v>1003</v>
      </c>
      <c r="C168" s="6">
        <v>6627072.1100000003</v>
      </c>
      <c r="D168" s="14">
        <v>7211044.75</v>
      </c>
      <c r="E168" s="26" t="s">
        <v>1257</v>
      </c>
      <c r="F168" s="6"/>
      <c r="H168" s="12"/>
      <c r="I168" s="12"/>
      <c r="J168" s="6">
        <v>3783500</v>
      </c>
    </row>
    <row r="169" spans="1:10" ht="45" customHeight="1" thickBot="1" x14ac:dyDescent="0.2">
      <c r="A169" s="12">
        <f>SUBTOTAL(3,$B$2:B169)</f>
        <v>168</v>
      </c>
      <c r="B169" s="40" t="s">
        <v>1004</v>
      </c>
      <c r="C169" s="6">
        <v>352249.73</v>
      </c>
      <c r="D169" s="14">
        <v>372249.73</v>
      </c>
      <c r="E169" s="26"/>
      <c r="F169" s="6"/>
      <c r="H169" s="12"/>
      <c r="I169" s="12"/>
      <c r="J169" s="6">
        <v>20000</v>
      </c>
    </row>
    <row r="170" spans="1:10" ht="45" customHeight="1" thickBot="1" x14ac:dyDescent="0.2">
      <c r="A170" s="12">
        <f>SUBTOTAL(3,$B$2:B170)</f>
        <v>169</v>
      </c>
      <c r="B170" s="40" t="s">
        <v>1005</v>
      </c>
      <c r="C170" s="6">
        <v>975432.02</v>
      </c>
      <c r="D170" s="14">
        <v>1005432.02</v>
      </c>
      <c r="E170" s="26" t="s">
        <v>1254</v>
      </c>
      <c r="F170" s="6"/>
      <c r="H170" s="12"/>
      <c r="I170" s="12"/>
      <c r="J170" s="6">
        <v>30000</v>
      </c>
    </row>
    <row r="171" spans="1:10" ht="45" customHeight="1" thickBot="1" x14ac:dyDescent="0.2">
      <c r="A171" s="12">
        <f>SUBTOTAL(3,$B$2:B171)</f>
        <v>170</v>
      </c>
      <c r="B171" s="40" t="s">
        <v>1006</v>
      </c>
      <c r="C171" s="6">
        <v>8011432.3200000003</v>
      </c>
      <c r="D171" s="14">
        <v>8357582.3399999999</v>
      </c>
      <c r="E171" s="26" t="s">
        <v>1295</v>
      </c>
      <c r="F171" s="6"/>
      <c r="H171" s="12"/>
      <c r="I171" s="12"/>
      <c r="J171" s="6">
        <v>323400</v>
      </c>
    </row>
    <row r="172" spans="1:10" ht="45" customHeight="1" thickBot="1" x14ac:dyDescent="0.2">
      <c r="A172" s="12">
        <f>SUBTOTAL(3,$B$2:B172)</f>
        <v>171</v>
      </c>
      <c r="B172" s="40" t="s">
        <v>1007</v>
      </c>
      <c r="C172" s="6">
        <v>3278900</v>
      </c>
      <c r="D172" s="14">
        <v>5028900</v>
      </c>
      <c r="E172" s="26" t="s">
        <v>1134</v>
      </c>
      <c r="F172" s="6"/>
      <c r="G172" s="12" t="s">
        <v>1164</v>
      </c>
      <c r="H172" s="12" t="s">
        <v>1247</v>
      </c>
      <c r="I172" s="12"/>
      <c r="J172" s="6">
        <v>1750000</v>
      </c>
    </row>
    <row r="173" spans="1:10" ht="45" customHeight="1" thickBot="1" x14ac:dyDescent="0.2">
      <c r="A173" s="12">
        <f>SUBTOTAL(3,$B$2:B173)</f>
        <v>172</v>
      </c>
      <c r="B173" s="40" t="s">
        <v>1008</v>
      </c>
      <c r="C173" s="6">
        <v>943281.91</v>
      </c>
      <c r="D173" s="14">
        <v>973281.91</v>
      </c>
      <c r="E173" s="26"/>
      <c r="F173" s="6"/>
      <c r="H173" s="12"/>
      <c r="I173" s="12"/>
      <c r="J173" s="6">
        <v>30000</v>
      </c>
    </row>
    <row r="174" spans="1:10" ht="45" customHeight="1" thickBot="1" x14ac:dyDescent="0.2">
      <c r="A174" s="12">
        <f>SUBTOTAL(3,$B$2:B174)</f>
        <v>173</v>
      </c>
      <c r="B174" s="40" t="s">
        <v>1009</v>
      </c>
      <c r="C174" s="6">
        <v>1063964.17</v>
      </c>
      <c r="D174" s="14">
        <v>1738964.17</v>
      </c>
      <c r="E174" s="26" t="s">
        <v>1134</v>
      </c>
      <c r="F174" s="6"/>
      <c r="G174" s="12" t="s">
        <v>1272</v>
      </c>
      <c r="H174" s="12" t="s">
        <v>1273</v>
      </c>
      <c r="I174" s="12"/>
      <c r="J174" s="6">
        <v>675000</v>
      </c>
    </row>
    <row r="175" spans="1:10" ht="45" customHeight="1" thickBot="1" x14ac:dyDescent="0.2">
      <c r="A175" s="12">
        <f>SUBTOTAL(3,$B$2:B175)</f>
        <v>174</v>
      </c>
      <c r="B175" s="40" t="s">
        <v>1010</v>
      </c>
      <c r="C175" s="6">
        <v>7522</v>
      </c>
      <c r="D175" s="14">
        <v>7522</v>
      </c>
      <c r="E175" s="36" t="s">
        <v>1251</v>
      </c>
      <c r="F175" s="6"/>
      <c r="H175" s="12"/>
      <c r="I175" s="12"/>
      <c r="J175" s="6">
        <v>0</v>
      </c>
    </row>
    <row r="176" spans="1:10" ht="45" customHeight="1" thickBot="1" x14ac:dyDescent="0.2">
      <c r="A176" s="12">
        <f>SUBTOTAL(3,$B$2:B176)</f>
        <v>175</v>
      </c>
      <c r="B176" s="40" t="s">
        <v>1011</v>
      </c>
      <c r="C176" s="6">
        <v>1488750</v>
      </c>
      <c r="D176" s="14">
        <v>1888750</v>
      </c>
      <c r="E176" s="26" t="s">
        <v>1134</v>
      </c>
      <c r="F176" s="6"/>
      <c r="G176" s="12" t="s">
        <v>1181</v>
      </c>
      <c r="H176" s="42" t="s">
        <v>1232</v>
      </c>
      <c r="I176" s="12"/>
      <c r="J176" s="6">
        <v>400000</v>
      </c>
    </row>
    <row r="177" spans="1:10" ht="45" customHeight="1" thickBot="1" x14ac:dyDescent="0.2">
      <c r="A177" s="12">
        <f>SUBTOTAL(3,$B$2:B177)</f>
        <v>176</v>
      </c>
      <c r="B177" s="40" t="s">
        <v>1012</v>
      </c>
      <c r="C177" s="6">
        <v>2478000</v>
      </c>
      <c r="D177" s="14">
        <v>1360702.3800000001</v>
      </c>
      <c r="E177" s="36"/>
      <c r="F177" s="6"/>
      <c r="H177" s="6"/>
      <c r="I177" s="12"/>
      <c r="J177" s="6">
        <v>1360702.3800000001</v>
      </c>
    </row>
    <row r="178" spans="1:10" ht="45" customHeight="1" thickBot="1" x14ac:dyDescent="0.2">
      <c r="A178" s="12">
        <f>SUBTOTAL(3,$B$2:B178)</f>
        <v>177</v>
      </c>
      <c r="B178" s="40" t="s">
        <v>1013</v>
      </c>
      <c r="C178" s="6">
        <v>395421.02</v>
      </c>
      <c r="D178" s="14">
        <v>495421.02</v>
      </c>
      <c r="E178" s="37" t="s">
        <v>1134</v>
      </c>
      <c r="F178" s="6"/>
      <c r="G178" s="12" t="s">
        <v>1165</v>
      </c>
      <c r="H178" s="12" t="s">
        <v>1246</v>
      </c>
      <c r="I178" s="12"/>
      <c r="J178" s="6">
        <v>100000</v>
      </c>
    </row>
    <row r="179" spans="1:10" ht="45" customHeight="1" thickBot="1" x14ac:dyDescent="0.2">
      <c r="A179" s="12">
        <f>SUBTOTAL(3,$B$2:B179)</f>
        <v>178</v>
      </c>
      <c r="B179" s="40" t="s">
        <v>1014</v>
      </c>
      <c r="C179" s="6">
        <v>703048.76</v>
      </c>
      <c r="D179" s="14">
        <v>244508.76</v>
      </c>
      <c r="E179" s="26" t="s">
        <v>1134</v>
      </c>
      <c r="F179" s="6"/>
      <c r="G179" s="12" t="s">
        <v>1176</v>
      </c>
      <c r="H179" s="42" t="s">
        <v>1237</v>
      </c>
      <c r="I179" s="12"/>
      <c r="J179" s="6">
        <v>470000</v>
      </c>
    </row>
    <row r="180" spans="1:10" ht="45" customHeight="1" thickBot="1" x14ac:dyDescent="0.2">
      <c r="A180" s="12">
        <f>SUBTOTAL(3,$B$2:B180)</f>
        <v>179</v>
      </c>
      <c r="B180" s="40" t="s">
        <v>1015</v>
      </c>
      <c r="C180" s="6">
        <v>14857865.74</v>
      </c>
      <c r="D180" s="14">
        <v>6936622.6400000006</v>
      </c>
      <c r="E180" s="36" t="s">
        <v>1134</v>
      </c>
      <c r="F180" s="6"/>
      <c r="G180" s="12" t="s">
        <v>1259</v>
      </c>
      <c r="H180" s="12" t="s">
        <v>1258</v>
      </c>
      <c r="I180" s="12"/>
      <c r="J180" s="6">
        <v>21123690</v>
      </c>
    </row>
    <row r="181" spans="1:10" ht="45" customHeight="1" thickBot="1" x14ac:dyDescent="0.2">
      <c r="A181" s="12">
        <f>SUBTOTAL(3,$B$2:B181)</f>
        <v>180</v>
      </c>
      <c r="B181" s="40" t="s">
        <v>1016</v>
      </c>
      <c r="C181" s="6">
        <v>396632.7</v>
      </c>
      <c r="D181" s="14">
        <v>446632.7</v>
      </c>
      <c r="E181" s="36"/>
      <c r="F181" s="6"/>
      <c r="H181" s="12"/>
      <c r="I181" s="12"/>
      <c r="J181" s="6">
        <v>50000</v>
      </c>
    </row>
    <row r="182" spans="1:10" ht="45" customHeight="1" thickBot="1" x14ac:dyDescent="0.2">
      <c r="A182" s="12">
        <f>SUBTOTAL(3,$B$2:B182)</f>
        <v>181</v>
      </c>
      <c r="B182" s="40" t="s">
        <v>1017</v>
      </c>
      <c r="C182" s="6">
        <v>1199379.6399999999</v>
      </c>
      <c r="D182" s="14">
        <v>1249379.6399999999</v>
      </c>
      <c r="E182" s="26"/>
      <c r="F182" s="6"/>
      <c r="H182" s="12"/>
      <c r="I182" s="12"/>
      <c r="J182" s="6">
        <v>50000</v>
      </c>
    </row>
    <row r="183" spans="1:10" ht="45" customHeight="1" thickBot="1" x14ac:dyDescent="0.2">
      <c r="A183" s="12">
        <f>SUBTOTAL(3,$B$2:B183)</f>
        <v>182</v>
      </c>
      <c r="B183" s="40" t="s">
        <v>1018</v>
      </c>
      <c r="C183" s="6">
        <v>117513.39</v>
      </c>
      <c r="D183" s="14">
        <v>167513.39000000001</v>
      </c>
      <c r="E183" s="36" t="s">
        <v>1134</v>
      </c>
      <c r="F183" s="6"/>
      <c r="G183" s="12" t="s">
        <v>1243</v>
      </c>
      <c r="H183" s="12" t="s">
        <v>1168</v>
      </c>
      <c r="I183" s="12"/>
      <c r="J183" s="6">
        <v>50000</v>
      </c>
    </row>
    <row r="184" spans="1:10" ht="45" customHeight="1" thickBot="1" x14ac:dyDescent="0.2">
      <c r="A184" s="12">
        <f>SUBTOTAL(3,$B$2:B184)</f>
        <v>183</v>
      </c>
      <c r="B184" s="40" t="s">
        <v>1019</v>
      </c>
      <c r="C184" s="6">
        <v>1289004.3899999999</v>
      </c>
      <c r="D184" s="14">
        <v>1369004.3900000001</v>
      </c>
      <c r="E184" s="26"/>
      <c r="F184" s="6"/>
      <c r="H184" s="12"/>
      <c r="I184" s="12"/>
      <c r="J184" s="6">
        <v>80000</v>
      </c>
    </row>
    <row r="185" spans="1:10" ht="45" customHeight="1" thickBot="1" x14ac:dyDescent="0.2">
      <c r="A185" s="12">
        <f>SUBTOTAL(3,$B$2:B185)</f>
        <v>184</v>
      </c>
      <c r="B185" s="40" t="s">
        <v>1020</v>
      </c>
      <c r="C185" s="6">
        <v>724100.07000000007</v>
      </c>
      <c r="D185" s="14">
        <v>1007700.0700000001</v>
      </c>
      <c r="E185" s="36"/>
      <c r="F185" s="6"/>
      <c r="H185" s="12"/>
      <c r="I185" s="12"/>
      <c r="J185" s="6">
        <v>450000</v>
      </c>
    </row>
    <row r="186" spans="1:10" ht="45" customHeight="1" thickBot="1" x14ac:dyDescent="0.2">
      <c r="A186" s="12">
        <f>SUBTOTAL(3,$B$2:B186)</f>
        <v>185</v>
      </c>
      <c r="B186" s="40" t="s">
        <v>1021</v>
      </c>
      <c r="C186" s="6">
        <v>2557724.21</v>
      </c>
      <c r="D186" s="14">
        <v>2757724.21</v>
      </c>
      <c r="E186" s="26" t="s">
        <v>1156</v>
      </c>
      <c r="F186" s="6"/>
      <c r="G186" s="12" t="s">
        <v>1178</v>
      </c>
      <c r="H186" s="12" t="s">
        <v>1179</v>
      </c>
      <c r="I186" s="12"/>
      <c r="J186" s="6">
        <v>200000</v>
      </c>
    </row>
    <row r="187" spans="1:10" ht="45" customHeight="1" thickBot="1" x14ac:dyDescent="0.2">
      <c r="A187" s="12">
        <f>SUBTOTAL(3,$B$2:B187)</f>
        <v>186</v>
      </c>
      <c r="B187" s="40" t="s">
        <v>1022</v>
      </c>
      <c r="C187" s="6">
        <v>2585499.8199999998</v>
      </c>
      <c r="D187" s="14">
        <v>2585499.8199999998</v>
      </c>
      <c r="E187" s="26"/>
      <c r="F187" s="6"/>
      <c r="H187" s="12"/>
      <c r="I187" s="12"/>
      <c r="J187" s="6">
        <v>0</v>
      </c>
    </row>
    <row r="188" spans="1:10" ht="45" customHeight="1" thickBot="1" x14ac:dyDescent="0.2">
      <c r="A188" s="12">
        <f>SUBTOTAL(3,$B$2:B188)</f>
        <v>187</v>
      </c>
      <c r="B188" s="40" t="s">
        <v>1023</v>
      </c>
      <c r="C188" s="6">
        <v>236850.75</v>
      </c>
      <c r="D188" s="14">
        <v>932850.75</v>
      </c>
      <c r="E188" s="26" t="s">
        <v>1137</v>
      </c>
      <c r="F188" s="6"/>
      <c r="G188" s="12" t="s">
        <v>1140</v>
      </c>
      <c r="H188" s="12" t="s">
        <v>1141</v>
      </c>
      <c r="I188" s="12"/>
      <c r="J188" s="6">
        <v>696000</v>
      </c>
    </row>
    <row r="189" spans="1:10" ht="45" customHeight="1" thickBot="1" x14ac:dyDescent="0.2">
      <c r="A189" s="12">
        <f>SUBTOTAL(3,$B$2:B189)</f>
        <v>188</v>
      </c>
      <c r="B189" s="40" t="s">
        <v>1024</v>
      </c>
      <c r="C189" s="6">
        <v>1325134.78</v>
      </c>
      <c r="D189" s="14">
        <v>1330994.45</v>
      </c>
      <c r="E189" s="26"/>
      <c r="F189" s="6"/>
      <c r="H189" s="12"/>
      <c r="I189" s="12"/>
      <c r="J189" s="6">
        <v>40000</v>
      </c>
    </row>
    <row r="190" spans="1:10" ht="45" customHeight="1" thickBot="1" x14ac:dyDescent="0.2">
      <c r="A190" s="12">
        <f>SUBTOTAL(3,$B$2:B190)</f>
        <v>189</v>
      </c>
      <c r="B190" s="40" t="s">
        <v>1025</v>
      </c>
      <c r="C190" s="6">
        <v>1265443.07</v>
      </c>
      <c r="D190" s="14">
        <v>298258.07</v>
      </c>
      <c r="E190" s="26" t="s">
        <v>1156</v>
      </c>
      <c r="F190" s="6"/>
      <c r="G190" s="12" t="s">
        <v>1171</v>
      </c>
      <c r="H190" s="12" t="s">
        <v>1172</v>
      </c>
      <c r="I190" s="42" t="s">
        <v>1241</v>
      </c>
      <c r="J190" s="6">
        <v>50000</v>
      </c>
    </row>
    <row r="191" spans="1:10" ht="45" customHeight="1" thickBot="1" x14ac:dyDescent="0.2">
      <c r="A191" s="12">
        <f>SUBTOTAL(3,$B$2:B191)</f>
        <v>190</v>
      </c>
      <c r="B191" s="40" t="s">
        <v>1026</v>
      </c>
      <c r="C191" s="6">
        <v>833542.63</v>
      </c>
      <c r="D191" s="14">
        <v>976542.63</v>
      </c>
      <c r="E191" s="26" t="s">
        <v>1134</v>
      </c>
      <c r="F191" s="6"/>
      <c r="G191" s="12" t="s">
        <v>1260</v>
      </c>
      <c r="H191" s="12" t="s">
        <v>1261</v>
      </c>
      <c r="I191" s="12"/>
      <c r="J191" s="6">
        <v>143000</v>
      </c>
    </row>
    <row r="192" spans="1:10" ht="45" customHeight="1" thickBot="1" x14ac:dyDescent="0.2">
      <c r="A192" s="12">
        <f>SUBTOTAL(3,$B$2:B192)</f>
        <v>191</v>
      </c>
      <c r="B192" s="40" t="s">
        <v>1027</v>
      </c>
      <c r="C192" s="6">
        <v>158700.42000000001</v>
      </c>
      <c r="D192" s="14">
        <v>158700.42000000001</v>
      </c>
      <c r="E192" s="26"/>
      <c r="F192" s="6"/>
      <c r="H192" s="12"/>
      <c r="I192" s="12"/>
      <c r="J192" s="6">
        <v>0</v>
      </c>
    </row>
    <row r="193" spans="1:10" ht="45" customHeight="1" thickBot="1" x14ac:dyDescent="0.2">
      <c r="A193" s="12">
        <f>SUBTOTAL(3,$B$2:B193)</f>
        <v>192</v>
      </c>
      <c r="B193" s="40" t="s">
        <v>1028</v>
      </c>
      <c r="C193" s="6">
        <v>267175.84999999998</v>
      </c>
      <c r="D193" s="14">
        <v>267175.84999999998</v>
      </c>
      <c r="E193" s="26"/>
      <c r="F193" s="6"/>
      <c r="H193" s="12"/>
      <c r="I193" s="12"/>
      <c r="J193" s="6">
        <v>0</v>
      </c>
    </row>
    <row r="194" spans="1:10" ht="45" customHeight="1" thickBot="1" x14ac:dyDescent="0.2">
      <c r="A194" s="12">
        <f>SUBTOTAL(3,$B$2:B194)</f>
        <v>193</v>
      </c>
      <c r="B194" s="40" t="s">
        <v>1029</v>
      </c>
      <c r="C194" s="6">
        <v>40160</v>
      </c>
      <c r="D194" s="14">
        <v>0</v>
      </c>
      <c r="E194" s="26" t="s">
        <v>1134</v>
      </c>
      <c r="F194" s="6"/>
      <c r="G194" s="12" t="s">
        <v>1174</v>
      </c>
      <c r="H194" s="42" t="s">
        <v>1239</v>
      </c>
      <c r="I194" s="12"/>
      <c r="J194" s="6">
        <v>100000</v>
      </c>
    </row>
    <row r="195" spans="1:10" ht="45" customHeight="1" thickBot="1" x14ac:dyDescent="0.2">
      <c r="A195" s="12">
        <f>SUBTOTAL(3,$B$2:B195)</f>
        <v>194</v>
      </c>
      <c r="B195" s="40" t="s">
        <v>1030</v>
      </c>
      <c r="C195" s="6">
        <v>130000.44</v>
      </c>
      <c r="D195" s="14">
        <v>130000.44</v>
      </c>
      <c r="E195" s="26" t="s">
        <v>1255</v>
      </c>
      <c r="F195" s="6"/>
      <c r="H195" s="12"/>
      <c r="I195" s="12"/>
      <c r="J195" s="6">
        <v>0</v>
      </c>
    </row>
    <row r="196" spans="1:10" ht="45" customHeight="1" thickBot="1" x14ac:dyDescent="0.2">
      <c r="A196" s="12">
        <f>SUBTOTAL(3,$B$2:B196)</f>
        <v>195</v>
      </c>
      <c r="B196" s="40" t="s">
        <v>1031</v>
      </c>
      <c r="C196" s="6">
        <v>1199800</v>
      </c>
      <c r="D196" s="14">
        <v>1644300</v>
      </c>
      <c r="E196" s="26"/>
      <c r="F196" s="6"/>
      <c r="H196" s="12"/>
      <c r="I196" s="12"/>
      <c r="J196" s="6">
        <v>5413620</v>
      </c>
    </row>
    <row r="197" spans="1:10" ht="45" customHeight="1" thickBot="1" x14ac:dyDescent="0.2">
      <c r="A197" s="12">
        <f>SUBTOTAL(3,$B$2:B197)</f>
        <v>196</v>
      </c>
      <c r="B197" s="40" t="s">
        <v>1032</v>
      </c>
      <c r="C197" s="6">
        <v>449444.62</v>
      </c>
      <c r="D197" s="14">
        <v>449444.62</v>
      </c>
      <c r="E197" s="26" t="s">
        <v>1134</v>
      </c>
      <c r="F197" s="6"/>
      <c r="G197" s="12" t="s">
        <v>1248</v>
      </c>
      <c r="H197" s="12" t="s">
        <v>1163</v>
      </c>
      <c r="I197" s="12" t="s">
        <v>1162</v>
      </c>
      <c r="J197" s="6">
        <v>0</v>
      </c>
    </row>
    <row r="198" spans="1:10" ht="45" customHeight="1" thickBot="1" x14ac:dyDescent="0.2">
      <c r="A198" s="12">
        <f>SUBTOTAL(3,$B$2:B198)</f>
        <v>197</v>
      </c>
      <c r="B198" s="40" t="s">
        <v>1033</v>
      </c>
      <c r="C198" s="6">
        <v>326499.61</v>
      </c>
      <c r="D198" s="14">
        <v>326499.61</v>
      </c>
      <c r="E198" s="26" t="s">
        <v>1252</v>
      </c>
      <c r="F198" s="6"/>
      <c r="H198" s="12"/>
      <c r="I198" s="12"/>
      <c r="J198" s="6">
        <v>0</v>
      </c>
    </row>
    <row r="199" spans="1:10" ht="45" customHeight="1" thickBot="1" x14ac:dyDescent="0.2">
      <c r="A199" s="12">
        <f>SUBTOTAL(3,$B$2:B199)</f>
        <v>198</v>
      </c>
      <c r="B199" s="40" t="s">
        <v>1034</v>
      </c>
      <c r="C199" s="6">
        <v>895781.22</v>
      </c>
      <c r="D199" s="14">
        <v>1000781.22</v>
      </c>
      <c r="E199" s="26" t="s">
        <v>1134</v>
      </c>
      <c r="F199" s="6"/>
      <c r="G199" s="12" t="s">
        <v>1173</v>
      </c>
      <c r="H199" s="42" t="s">
        <v>1240</v>
      </c>
      <c r="I199" s="12"/>
      <c r="J199" s="6">
        <v>105000</v>
      </c>
    </row>
    <row r="200" spans="1:10" ht="45" customHeight="1" thickBot="1" x14ac:dyDescent="0.2">
      <c r="A200" s="12">
        <f>SUBTOTAL(3,$B$2:B200)</f>
        <v>199</v>
      </c>
      <c r="B200" s="40" t="s">
        <v>1035</v>
      </c>
      <c r="C200" s="6">
        <v>195963.9</v>
      </c>
      <c r="D200" s="14">
        <v>195963.9</v>
      </c>
      <c r="E200" s="26" t="s">
        <v>1286</v>
      </c>
      <c r="F200" s="6"/>
      <c r="H200" s="12"/>
      <c r="I200" s="12" t="s">
        <v>836</v>
      </c>
      <c r="J200" s="6">
        <v>0</v>
      </c>
    </row>
    <row r="201" spans="1:10" ht="45" customHeight="1" thickBot="1" x14ac:dyDescent="0.2">
      <c r="A201" s="12">
        <f>SUBTOTAL(3,$B$2:B201)</f>
        <v>200</v>
      </c>
      <c r="B201" s="40" t="s">
        <v>1036</v>
      </c>
      <c r="C201" s="6">
        <v>1010806</v>
      </c>
      <c r="D201" s="14">
        <v>95154</v>
      </c>
      <c r="E201" s="26" t="s">
        <v>1134</v>
      </c>
      <c r="F201" s="6"/>
      <c r="G201" s="12" t="s">
        <v>1274</v>
      </c>
      <c r="H201" s="12" t="s">
        <v>1275</v>
      </c>
      <c r="I201" s="12"/>
      <c r="J201" s="6">
        <v>525200</v>
      </c>
    </row>
    <row r="202" spans="1:10" ht="45" customHeight="1" thickBot="1" x14ac:dyDescent="0.2">
      <c r="A202" s="12">
        <f>SUBTOTAL(3,$B$2:B202)</f>
        <v>201</v>
      </c>
      <c r="B202" s="40" t="s">
        <v>1037</v>
      </c>
      <c r="C202" s="6">
        <v>266095.7</v>
      </c>
      <c r="D202" s="14">
        <v>466095.7</v>
      </c>
      <c r="E202" s="26" t="s">
        <v>1251</v>
      </c>
      <c r="F202" s="6"/>
      <c r="H202" s="12"/>
      <c r="I202" s="12"/>
      <c r="J202" s="6">
        <v>200000</v>
      </c>
    </row>
    <row r="203" spans="1:10" ht="45" customHeight="1" thickBot="1" x14ac:dyDescent="0.2">
      <c r="A203" s="12">
        <f>SUBTOTAL(3,$B$2:B203)</f>
        <v>202</v>
      </c>
      <c r="B203" s="40" t="s">
        <v>1038</v>
      </c>
      <c r="C203" s="6">
        <v>52628.75</v>
      </c>
      <c r="D203" s="14">
        <v>52628.75</v>
      </c>
      <c r="E203" s="26" t="s">
        <v>1251</v>
      </c>
      <c r="F203" s="6"/>
      <c r="H203" s="12"/>
      <c r="I203" s="12"/>
      <c r="J203" s="6">
        <v>0</v>
      </c>
    </row>
    <row r="204" spans="1:10" ht="45" customHeight="1" thickBot="1" x14ac:dyDescent="0.2">
      <c r="A204" s="12">
        <f>SUBTOTAL(3,$B$2:B204)</f>
        <v>203</v>
      </c>
      <c r="B204" s="40" t="s">
        <v>1039</v>
      </c>
      <c r="C204" s="6">
        <v>51994.18</v>
      </c>
      <c r="D204" s="14">
        <v>61994.18</v>
      </c>
      <c r="E204" s="26"/>
      <c r="F204" s="6"/>
      <c r="H204" s="12"/>
      <c r="I204" s="12"/>
      <c r="J204" s="6">
        <v>10000</v>
      </c>
    </row>
    <row r="205" spans="1:10" ht="45" customHeight="1" thickBot="1" x14ac:dyDescent="0.2">
      <c r="A205" s="12">
        <f>SUBTOTAL(3,$B$2:B205)</f>
        <v>204</v>
      </c>
      <c r="B205" s="40" t="s">
        <v>1040</v>
      </c>
      <c r="C205" s="6">
        <v>3345984.91</v>
      </c>
      <c r="D205" s="14">
        <v>3127184.91</v>
      </c>
      <c r="E205" s="26" t="s">
        <v>1251</v>
      </c>
      <c r="F205" s="6"/>
      <c r="H205" s="12"/>
      <c r="I205" s="12"/>
      <c r="J205" s="6">
        <v>794000</v>
      </c>
    </row>
    <row r="206" spans="1:10" ht="45" customHeight="1" thickBot="1" x14ac:dyDescent="0.2">
      <c r="A206" s="12">
        <f>SUBTOTAL(3,$B$2:B206)</f>
        <v>205</v>
      </c>
      <c r="B206" s="40" t="s">
        <v>1041</v>
      </c>
      <c r="C206" s="6">
        <v>1697080.76</v>
      </c>
      <c r="D206" s="14">
        <v>1925189.67</v>
      </c>
      <c r="E206" s="36" t="s">
        <v>1137</v>
      </c>
      <c r="F206" s="6"/>
      <c r="G206" s="12" t="s">
        <v>1147</v>
      </c>
      <c r="H206" s="12" t="s">
        <v>1148</v>
      </c>
      <c r="I206" s="12"/>
      <c r="J206" s="6">
        <v>2175189.67</v>
      </c>
    </row>
    <row r="207" spans="1:10" ht="45" customHeight="1" thickBot="1" x14ac:dyDescent="0.2">
      <c r="A207" s="12">
        <f>SUBTOTAL(3,$B$2:B207)</f>
        <v>206</v>
      </c>
      <c r="B207" s="40" t="s">
        <v>1042</v>
      </c>
      <c r="C207" s="6">
        <v>896949.32000000007</v>
      </c>
      <c r="D207" s="14">
        <v>896949.32000000007</v>
      </c>
      <c r="E207" s="26"/>
      <c r="F207" s="6"/>
      <c r="H207" s="12"/>
      <c r="I207" s="12"/>
      <c r="J207" s="6">
        <v>0</v>
      </c>
    </row>
    <row r="208" spans="1:10" ht="45" customHeight="1" thickBot="1" x14ac:dyDescent="0.2">
      <c r="A208" s="12">
        <f>SUBTOTAL(3,$B$2:B208)</f>
        <v>207</v>
      </c>
      <c r="B208" s="40" t="s">
        <v>1043</v>
      </c>
      <c r="C208" s="6">
        <v>85480</v>
      </c>
      <c r="D208" s="14">
        <v>95480</v>
      </c>
      <c r="E208" s="26"/>
      <c r="F208" s="6"/>
      <c r="H208" s="12"/>
      <c r="I208" s="12"/>
      <c r="J208" s="6">
        <v>10000</v>
      </c>
    </row>
    <row r="209" spans="1:10" ht="45" customHeight="1" thickBot="1" x14ac:dyDescent="0.2">
      <c r="A209" s="12">
        <f>SUBTOTAL(3,$B$2:B209)</f>
        <v>208</v>
      </c>
      <c r="B209" s="40" t="s">
        <v>1044</v>
      </c>
      <c r="C209" s="6">
        <v>188417.4</v>
      </c>
      <c r="D209" s="14">
        <v>14917.4</v>
      </c>
      <c r="E209" s="26" t="s">
        <v>1134</v>
      </c>
      <c r="F209" s="6"/>
      <c r="G209" s="12" t="s">
        <v>1197</v>
      </c>
      <c r="H209" s="42" t="s">
        <v>1218</v>
      </c>
      <c r="I209" s="12"/>
      <c r="J209" s="6">
        <v>20000</v>
      </c>
    </row>
    <row r="210" spans="1:10" ht="45" customHeight="1" thickBot="1" x14ac:dyDescent="0.2">
      <c r="A210" s="12">
        <f>SUBTOTAL(3,$B$2:B210)</f>
        <v>209</v>
      </c>
      <c r="B210" s="40" t="s">
        <v>1045</v>
      </c>
      <c r="C210" s="6">
        <v>577688.87</v>
      </c>
      <c r="D210" s="14">
        <v>647688.87</v>
      </c>
      <c r="E210" s="36" t="s">
        <v>1285</v>
      </c>
      <c r="F210" s="6"/>
      <c r="H210" s="12"/>
      <c r="I210" s="12"/>
      <c r="J210" s="6">
        <v>70000</v>
      </c>
    </row>
    <row r="211" spans="1:10" ht="45" customHeight="1" thickBot="1" x14ac:dyDescent="0.2">
      <c r="A211" s="12">
        <f>SUBTOTAL(3,$B$2:B211)</f>
        <v>210</v>
      </c>
      <c r="B211" s="40" t="s">
        <v>1046</v>
      </c>
      <c r="C211" s="6">
        <v>4733440.59</v>
      </c>
      <c r="D211" s="14">
        <v>4733440.59</v>
      </c>
      <c r="E211" s="26"/>
      <c r="F211" s="6"/>
      <c r="H211" s="12"/>
      <c r="I211" s="12"/>
      <c r="J211" s="6">
        <v>0</v>
      </c>
    </row>
    <row r="212" spans="1:10" ht="45" customHeight="1" thickBot="1" x14ac:dyDescent="0.2">
      <c r="A212" s="12">
        <f>SUBTOTAL(3,$B$2:B212)</f>
        <v>211</v>
      </c>
      <c r="B212" s="40" t="s">
        <v>1047</v>
      </c>
      <c r="C212" s="6">
        <v>59690</v>
      </c>
      <c r="D212" s="14">
        <v>79690</v>
      </c>
      <c r="E212" s="26" t="s">
        <v>1144</v>
      </c>
      <c r="F212" s="6"/>
      <c r="G212" s="12" t="s">
        <v>1151</v>
      </c>
      <c r="H212" s="12" t="s">
        <v>1152</v>
      </c>
      <c r="I212" s="12"/>
      <c r="J212" s="6">
        <v>20000</v>
      </c>
    </row>
    <row r="213" spans="1:10" ht="45" customHeight="1" thickBot="1" x14ac:dyDescent="0.2">
      <c r="A213" s="12">
        <f>SUBTOTAL(3,$B$2:B213)</f>
        <v>212</v>
      </c>
      <c r="B213" s="40" t="s">
        <v>1048</v>
      </c>
      <c r="C213" s="6">
        <v>616460.22</v>
      </c>
      <c r="D213" s="14">
        <v>298260.21999999997</v>
      </c>
      <c r="E213" s="36" t="s">
        <v>1134</v>
      </c>
      <c r="F213" s="6"/>
      <c r="G213" s="12" t="s">
        <v>1233</v>
      </c>
      <c r="H213" s="6"/>
      <c r="I213" s="12"/>
      <c r="J213" s="6">
        <v>185000</v>
      </c>
    </row>
    <row r="214" spans="1:10" ht="45" customHeight="1" thickBot="1" x14ac:dyDescent="0.2">
      <c r="A214" s="12">
        <f>SUBTOTAL(3,$B$2:B214)</f>
        <v>213</v>
      </c>
      <c r="B214" s="40" t="s">
        <v>1049</v>
      </c>
      <c r="C214" s="6">
        <v>846765.73</v>
      </c>
      <c r="D214" s="14">
        <v>846765.73</v>
      </c>
      <c r="E214" s="26" t="s">
        <v>1156</v>
      </c>
      <c r="F214" s="6"/>
      <c r="G214" s="12" t="s">
        <v>1161</v>
      </c>
      <c r="H214" s="12" t="s">
        <v>1249</v>
      </c>
      <c r="I214" s="12" t="s">
        <v>1160</v>
      </c>
      <c r="J214" s="6">
        <v>0</v>
      </c>
    </row>
    <row r="215" spans="1:10" ht="45" customHeight="1" thickBot="1" x14ac:dyDescent="0.2">
      <c r="A215" s="12">
        <f>SUBTOTAL(3,$B$2:B215)</f>
        <v>214</v>
      </c>
      <c r="B215" s="40" t="s">
        <v>1050</v>
      </c>
      <c r="C215" s="6">
        <v>2885471.07</v>
      </c>
      <c r="D215" s="14">
        <v>3273255.0300000003</v>
      </c>
      <c r="E215" s="36" t="s">
        <v>1257</v>
      </c>
      <c r="F215" s="6"/>
      <c r="H215" s="6"/>
      <c r="I215" s="12"/>
      <c r="J215" s="6">
        <v>1993150</v>
      </c>
    </row>
    <row r="216" spans="1:10" ht="45" customHeight="1" thickBot="1" x14ac:dyDescent="0.2">
      <c r="A216" s="12">
        <f>SUBTOTAL(3,$B$2:B216)</f>
        <v>215</v>
      </c>
      <c r="B216" s="40" t="s">
        <v>1051</v>
      </c>
      <c r="C216" s="6">
        <v>72492.86</v>
      </c>
      <c r="D216" s="14">
        <v>72492.86</v>
      </c>
      <c r="E216" s="26" t="s">
        <v>1251</v>
      </c>
      <c r="F216" s="6"/>
      <c r="H216" s="12"/>
      <c r="I216" s="12"/>
      <c r="J216" s="6">
        <v>0</v>
      </c>
    </row>
    <row r="217" spans="1:10" ht="45" customHeight="1" thickBot="1" x14ac:dyDescent="0.2">
      <c r="A217" s="12">
        <f>SUBTOTAL(3,$B$2:B217)</f>
        <v>216</v>
      </c>
      <c r="B217" s="40" t="s">
        <v>1052</v>
      </c>
      <c r="C217" s="6">
        <v>656921.51</v>
      </c>
      <c r="D217" s="14">
        <v>429214.23</v>
      </c>
      <c r="E217" s="36" t="s">
        <v>1134</v>
      </c>
      <c r="F217" s="6" t="s">
        <v>1135</v>
      </c>
      <c r="G217" s="12" t="s">
        <v>1136</v>
      </c>
      <c r="H217" s="12"/>
      <c r="I217" s="12"/>
      <c r="J217" s="6">
        <v>320000</v>
      </c>
    </row>
    <row r="218" spans="1:10" ht="45" customHeight="1" thickBot="1" x14ac:dyDescent="0.2">
      <c r="A218" s="12">
        <f>SUBTOTAL(3,$B$2:B218)</f>
        <v>217</v>
      </c>
      <c r="B218" s="40" t="s">
        <v>1053</v>
      </c>
      <c r="C218" s="6">
        <v>498924.9</v>
      </c>
      <c r="D218" s="14">
        <v>798924.9</v>
      </c>
      <c r="E218" s="26" t="s">
        <v>1134</v>
      </c>
      <c r="F218" s="6"/>
      <c r="G218" s="12" t="s">
        <v>1182</v>
      </c>
      <c r="H218" s="42" t="s">
        <v>1231</v>
      </c>
      <c r="I218" s="12"/>
      <c r="J218" s="6">
        <v>300000</v>
      </c>
    </row>
    <row r="219" spans="1:10" ht="45" customHeight="1" thickBot="1" x14ac:dyDescent="0.2">
      <c r="A219" s="12">
        <f>SUBTOTAL(3,$B$2:B219)</f>
        <v>218</v>
      </c>
      <c r="B219" s="40" t="s">
        <v>1054</v>
      </c>
      <c r="C219" s="6">
        <v>638173.71</v>
      </c>
      <c r="D219" s="14">
        <v>753273.71</v>
      </c>
      <c r="E219" s="26"/>
      <c r="F219" s="6"/>
      <c r="H219" s="12"/>
      <c r="I219" s="12"/>
      <c r="J219" s="6">
        <v>753000</v>
      </c>
    </row>
    <row r="220" spans="1:10" ht="45" customHeight="1" thickBot="1" x14ac:dyDescent="0.2">
      <c r="A220" s="12">
        <f>SUBTOTAL(3,$B$2:B220)</f>
        <v>219</v>
      </c>
      <c r="B220" s="40" t="s">
        <v>1055</v>
      </c>
      <c r="C220" s="6">
        <v>3813823.8200000003</v>
      </c>
      <c r="D220" s="14">
        <v>3863823.8200000003</v>
      </c>
      <c r="E220" s="26" t="s">
        <v>1257</v>
      </c>
      <c r="F220" s="6"/>
      <c r="H220" s="12"/>
      <c r="I220" s="12"/>
      <c r="J220" s="6">
        <v>50000</v>
      </c>
    </row>
    <row r="221" spans="1:10" ht="45" customHeight="1" thickBot="1" x14ac:dyDescent="0.2">
      <c r="A221" s="12">
        <f>SUBTOTAL(3,$B$2:B221)</f>
        <v>220</v>
      </c>
      <c r="B221" s="40" t="s">
        <v>1056</v>
      </c>
      <c r="C221" s="6">
        <v>1672657.98</v>
      </c>
      <c r="D221" s="14">
        <v>210680.66</v>
      </c>
      <c r="E221" s="37" t="s">
        <v>1257</v>
      </c>
      <c r="F221" s="6"/>
      <c r="H221" s="12"/>
      <c r="I221" s="12"/>
      <c r="J221" s="6">
        <v>125000</v>
      </c>
    </row>
    <row r="222" spans="1:10" ht="45" customHeight="1" thickBot="1" x14ac:dyDescent="0.2">
      <c r="A222" s="12">
        <f>SUBTOTAL(3,$B$2:B222)</f>
        <v>221</v>
      </c>
      <c r="B222" s="40" t="s">
        <v>1057</v>
      </c>
      <c r="C222" s="6">
        <v>193200</v>
      </c>
      <c r="D222" s="14">
        <v>0</v>
      </c>
      <c r="E222" s="26" t="s">
        <v>1156</v>
      </c>
      <c r="F222" s="6"/>
      <c r="G222" s="12" t="s">
        <v>1281</v>
      </c>
      <c r="H222" s="12" t="s">
        <v>1281</v>
      </c>
      <c r="I222" s="12" t="s">
        <v>1280</v>
      </c>
      <c r="J222" s="6">
        <v>85000</v>
      </c>
    </row>
    <row r="223" spans="1:10" ht="45" customHeight="1" thickBot="1" x14ac:dyDescent="0.2">
      <c r="A223" s="12">
        <f>SUBTOTAL(3,$B$2:B223)</f>
        <v>222</v>
      </c>
      <c r="B223" s="40" t="s">
        <v>1058</v>
      </c>
      <c r="C223" s="6">
        <v>304072.73</v>
      </c>
      <c r="D223" s="14">
        <v>0.75</v>
      </c>
      <c r="E223" s="26" t="s">
        <v>1134</v>
      </c>
      <c r="F223" s="6"/>
      <c r="G223" s="12" t="s">
        <v>1167</v>
      </c>
      <c r="H223" s="12" t="s">
        <v>1244</v>
      </c>
      <c r="I223" s="12"/>
      <c r="J223" s="6">
        <v>30000</v>
      </c>
    </row>
    <row r="224" spans="1:10" ht="45" customHeight="1" thickBot="1" x14ac:dyDescent="0.2">
      <c r="A224" s="12">
        <f>SUBTOTAL(3,$B$2:B224)</f>
        <v>223</v>
      </c>
      <c r="B224" s="40" t="s">
        <v>1059</v>
      </c>
      <c r="C224" s="6">
        <v>1524850.26</v>
      </c>
      <c r="D224" s="14">
        <v>298400.26</v>
      </c>
      <c r="E224" s="26"/>
      <c r="F224" s="6"/>
      <c r="H224" s="12"/>
      <c r="I224" s="12"/>
      <c r="J224" s="6">
        <v>2266494</v>
      </c>
    </row>
    <row r="225" spans="1:10" ht="45" customHeight="1" thickBot="1" x14ac:dyDescent="0.2">
      <c r="A225" s="12">
        <f>SUBTOTAL(3,$B$2:B225)</f>
        <v>224</v>
      </c>
      <c r="B225" s="40" t="s">
        <v>1060</v>
      </c>
      <c r="C225" s="6">
        <v>405748.18</v>
      </c>
      <c r="D225" s="14">
        <v>415748.18</v>
      </c>
      <c r="E225" s="26" t="s">
        <v>1257</v>
      </c>
      <c r="F225" s="6"/>
      <c r="H225" s="12"/>
      <c r="I225" s="12"/>
      <c r="J225" s="6">
        <v>10000</v>
      </c>
    </row>
    <row r="226" spans="1:10" ht="45" customHeight="1" thickBot="1" x14ac:dyDescent="0.2">
      <c r="A226" s="12">
        <f>SUBTOTAL(3,$B$2:B226)</f>
        <v>225</v>
      </c>
      <c r="B226" s="40" t="s">
        <v>1061</v>
      </c>
      <c r="C226" s="6">
        <v>947851.79</v>
      </c>
      <c r="D226" s="14">
        <v>175151.79</v>
      </c>
      <c r="E226" s="26"/>
      <c r="F226" s="6"/>
      <c r="H226" s="12"/>
      <c r="I226" s="12"/>
      <c r="J226" s="6">
        <v>0</v>
      </c>
    </row>
    <row r="227" spans="1:10" ht="45" customHeight="1" thickBot="1" x14ac:dyDescent="0.2">
      <c r="A227" s="12">
        <f>SUBTOTAL(3,$B$2:B227)</f>
        <v>226</v>
      </c>
      <c r="B227" s="40" t="s">
        <v>1062</v>
      </c>
      <c r="C227" s="6">
        <v>734729.54</v>
      </c>
      <c r="D227" s="14">
        <v>-0.46</v>
      </c>
      <c r="E227" s="26" t="s">
        <v>1251</v>
      </c>
      <c r="F227" s="6"/>
      <c r="H227" s="12"/>
      <c r="I227" s="12"/>
      <c r="J227" s="6">
        <v>500000</v>
      </c>
    </row>
    <row r="228" spans="1:10" ht="45" customHeight="1" thickBot="1" x14ac:dyDescent="0.2">
      <c r="A228" s="12">
        <f>SUBTOTAL(3,$B$2:B228)</f>
        <v>227</v>
      </c>
      <c r="B228" s="40" t="s">
        <v>1063</v>
      </c>
      <c r="C228" s="6">
        <v>249430</v>
      </c>
      <c r="D228" s="14">
        <v>376750</v>
      </c>
      <c r="E228" s="26" t="s">
        <v>1144</v>
      </c>
      <c r="F228" s="6"/>
      <c r="G228" s="12" t="s">
        <v>1146</v>
      </c>
      <c r="H228" s="12" t="s">
        <v>1145</v>
      </c>
      <c r="I228" s="12"/>
      <c r="J228" s="6">
        <v>376750</v>
      </c>
    </row>
    <row r="229" spans="1:10" ht="45" customHeight="1" thickBot="1" x14ac:dyDescent="0.2">
      <c r="A229" s="12">
        <f>SUBTOTAL(3,$B$2:B229)</f>
        <v>228</v>
      </c>
      <c r="B229" s="40" t="s">
        <v>1064</v>
      </c>
      <c r="C229" s="6">
        <v>3507803.7600000002</v>
      </c>
      <c r="D229" s="14">
        <v>3527803.7600000002</v>
      </c>
      <c r="E229" s="26" t="s">
        <v>1156</v>
      </c>
      <c r="F229" s="6"/>
      <c r="G229" s="12" t="s">
        <v>1180</v>
      </c>
      <c r="H229" s="42" t="s">
        <v>1234</v>
      </c>
      <c r="I229" s="42" t="s">
        <v>1235</v>
      </c>
      <c r="J229" s="6">
        <v>20000</v>
      </c>
    </row>
    <row r="230" spans="1:10" ht="45" customHeight="1" thickBot="1" x14ac:dyDescent="0.2">
      <c r="A230" s="12">
        <f>SUBTOTAL(3,$B$2:B230)</f>
        <v>229</v>
      </c>
      <c r="B230" s="40" t="s">
        <v>1065</v>
      </c>
      <c r="C230" s="6">
        <v>2613482.04</v>
      </c>
      <c r="D230" s="14">
        <v>1780695.04</v>
      </c>
      <c r="E230" s="26" t="s">
        <v>1134</v>
      </c>
      <c r="F230" s="6"/>
      <c r="G230" s="12" t="s">
        <v>1208</v>
      </c>
      <c r="H230" s="42" t="s">
        <v>1211</v>
      </c>
      <c r="I230" s="12"/>
      <c r="J230" s="6">
        <v>2080695</v>
      </c>
    </row>
    <row r="231" spans="1:10" ht="45" customHeight="1" thickBot="1" x14ac:dyDescent="0.2">
      <c r="A231" s="12">
        <f>SUBTOTAL(3,$B$2:B231)</f>
        <v>230</v>
      </c>
      <c r="B231" s="40" t="s">
        <v>1066</v>
      </c>
      <c r="C231" s="6">
        <v>643620.69999999995</v>
      </c>
      <c r="D231" s="14">
        <v>362040.7</v>
      </c>
      <c r="E231" s="36"/>
      <c r="F231" s="6"/>
      <c r="H231" s="12"/>
      <c r="I231" s="17"/>
      <c r="J231" s="6">
        <v>470000</v>
      </c>
    </row>
    <row r="232" spans="1:10" ht="45" customHeight="1" thickBot="1" x14ac:dyDescent="0.2">
      <c r="A232" s="12">
        <f>SUBTOTAL(3,$B$2:B232)</f>
        <v>231</v>
      </c>
      <c r="B232" s="40" t="s">
        <v>1067</v>
      </c>
      <c r="C232" s="6">
        <v>9300</v>
      </c>
      <c r="D232" s="14">
        <v>138190</v>
      </c>
      <c r="E232" s="26"/>
      <c r="F232" s="6"/>
      <c r="H232" s="12"/>
      <c r="I232" s="12"/>
      <c r="J232" s="6">
        <v>211190</v>
      </c>
    </row>
    <row r="233" spans="1:10" ht="45" customHeight="1" thickBot="1" x14ac:dyDescent="0.2">
      <c r="A233" s="12">
        <f>SUBTOTAL(3,$B$2:B233)</f>
        <v>232</v>
      </c>
      <c r="B233" s="40" t="s">
        <v>1068</v>
      </c>
      <c r="C233" s="6">
        <v>789804</v>
      </c>
      <c r="D233" s="14">
        <v>125421</v>
      </c>
      <c r="E233" s="36"/>
      <c r="F233" s="6"/>
      <c r="H233" s="12"/>
      <c r="I233" s="12"/>
      <c r="J233" s="6">
        <v>0</v>
      </c>
    </row>
    <row r="234" spans="1:10" ht="45" customHeight="1" thickBot="1" x14ac:dyDescent="0.2">
      <c r="A234" s="12">
        <f>SUBTOTAL(3,$B$2:B234)</f>
        <v>233</v>
      </c>
      <c r="B234" s="40" t="s">
        <v>1069</v>
      </c>
      <c r="C234" s="6">
        <v>2851265</v>
      </c>
      <c r="D234" s="14">
        <v>2871265</v>
      </c>
      <c r="E234" s="26" t="s">
        <v>1137</v>
      </c>
      <c r="F234" s="6" t="s">
        <v>1131</v>
      </c>
      <c r="G234" s="12" t="s">
        <v>1138</v>
      </c>
      <c r="H234" s="12" t="s">
        <v>1139</v>
      </c>
      <c r="I234" s="12"/>
      <c r="J234" s="6">
        <v>20000</v>
      </c>
    </row>
    <row r="235" spans="1:10" ht="45" customHeight="1" thickBot="1" x14ac:dyDescent="0.2">
      <c r="A235" s="12">
        <f>SUBTOTAL(3,$B$2:B235)</f>
        <v>234</v>
      </c>
      <c r="B235" s="40" t="s">
        <v>1070</v>
      </c>
      <c r="C235" s="6">
        <v>342355</v>
      </c>
      <c r="D235" s="14">
        <v>0</v>
      </c>
      <c r="E235" s="37" t="s">
        <v>1134</v>
      </c>
      <c r="F235" s="6"/>
      <c r="G235" s="12" t="s">
        <v>1278</v>
      </c>
      <c r="H235" s="12" t="s">
        <v>1279</v>
      </c>
      <c r="I235" s="12"/>
      <c r="J235" s="6">
        <v>270000</v>
      </c>
    </row>
    <row r="236" spans="1:10" ht="45" customHeight="1" thickBot="1" x14ac:dyDescent="0.2">
      <c r="A236" s="12">
        <f>SUBTOTAL(3,$B$2:B236)</f>
        <v>235</v>
      </c>
      <c r="B236" s="40" t="s">
        <v>1071</v>
      </c>
      <c r="C236" s="6">
        <v>234150</v>
      </c>
      <c r="D236" s="14">
        <v>0</v>
      </c>
      <c r="E236" s="26"/>
      <c r="F236" s="6"/>
      <c r="H236" s="12"/>
      <c r="I236" s="12"/>
      <c r="J236" s="6">
        <v>300000</v>
      </c>
    </row>
    <row r="237" spans="1:10" ht="45" customHeight="1" thickBot="1" x14ac:dyDescent="0.2">
      <c r="A237" s="12">
        <f>SUBTOTAL(3,$B$2:B237)</f>
        <v>236</v>
      </c>
      <c r="B237" s="40" t="s">
        <v>1072</v>
      </c>
      <c r="C237" s="6">
        <v>888900.48</v>
      </c>
      <c r="D237" s="14">
        <v>313751.48</v>
      </c>
      <c r="E237" s="26" t="s">
        <v>1130</v>
      </c>
      <c r="F237" s="6" t="s">
        <v>1131</v>
      </c>
      <c r="G237" s="12" t="s">
        <v>1133</v>
      </c>
      <c r="H237" s="12" t="s">
        <v>1132</v>
      </c>
      <c r="I237" s="12"/>
      <c r="J237" s="6">
        <v>413651</v>
      </c>
    </row>
    <row r="238" spans="1:10" ht="45" customHeight="1" thickBot="1" x14ac:dyDescent="0.2">
      <c r="A238" s="12">
        <f>SUBTOTAL(3,$B$2:B238)</f>
        <v>237</v>
      </c>
      <c r="B238" s="40" t="s">
        <v>1073</v>
      </c>
      <c r="C238" s="6">
        <v>776297.42</v>
      </c>
      <c r="D238" s="14">
        <v>776297.42</v>
      </c>
      <c r="E238" s="26"/>
      <c r="F238" s="6"/>
      <c r="H238" s="12"/>
      <c r="I238" s="12"/>
      <c r="J238" s="6">
        <v>0</v>
      </c>
    </row>
    <row r="239" spans="1:10" ht="45" customHeight="1" thickBot="1" x14ac:dyDescent="0.2">
      <c r="A239" s="12">
        <f>SUBTOTAL(3,$B$2:B239)</f>
        <v>238</v>
      </c>
      <c r="B239" s="40" t="s">
        <v>1074</v>
      </c>
      <c r="C239" s="6">
        <v>3547698</v>
      </c>
      <c r="D239" s="14">
        <v>3807698</v>
      </c>
      <c r="E239" s="26"/>
      <c r="F239" s="6"/>
      <c r="H239" s="12"/>
      <c r="I239" s="12"/>
      <c r="J239" s="6">
        <v>260000</v>
      </c>
    </row>
    <row r="240" spans="1:10" ht="45" customHeight="1" thickBot="1" x14ac:dyDescent="0.2">
      <c r="A240" s="12">
        <f>SUBTOTAL(3,$B$2:B240)</f>
        <v>239</v>
      </c>
      <c r="B240" s="40" t="s">
        <v>1075</v>
      </c>
      <c r="C240" s="6">
        <v>1068151.73</v>
      </c>
      <c r="D240" s="14">
        <v>683991.73</v>
      </c>
      <c r="E240" s="36" t="s">
        <v>1156</v>
      </c>
      <c r="F240" s="6"/>
      <c r="G240" s="12" t="s">
        <v>1204</v>
      </c>
      <c r="H240" s="42" t="s">
        <v>1214</v>
      </c>
      <c r="I240" s="12"/>
      <c r="J240" s="6">
        <v>177000</v>
      </c>
    </row>
    <row r="241" spans="1:10" ht="45" customHeight="1" thickBot="1" x14ac:dyDescent="0.2">
      <c r="A241" s="12">
        <f>SUBTOTAL(3,$B$2:B241)</f>
        <v>240</v>
      </c>
      <c r="B241" s="40" t="s">
        <v>1076</v>
      </c>
      <c r="C241" s="6">
        <v>1519850</v>
      </c>
      <c r="D241" s="14">
        <v>1548850</v>
      </c>
      <c r="E241" s="37" t="s">
        <v>1251</v>
      </c>
      <c r="F241" s="6"/>
      <c r="H241" s="12"/>
      <c r="I241" s="12"/>
      <c r="J241" s="6">
        <v>29000</v>
      </c>
    </row>
    <row r="242" spans="1:10" ht="45" customHeight="1" thickBot="1" x14ac:dyDescent="0.2">
      <c r="A242" s="12">
        <f>SUBTOTAL(3,$B$2:B242)</f>
        <v>241</v>
      </c>
      <c r="B242" s="40" t="s">
        <v>1077</v>
      </c>
      <c r="C242" s="6">
        <v>90140</v>
      </c>
      <c r="D242" s="14">
        <v>0</v>
      </c>
      <c r="E242" s="26"/>
      <c r="F242" s="6"/>
      <c r="H242" s="12"/>
      <c r="I242" s="12"/>
      <c r="J242" s="6">
        <v>116400</v>
      </c>
    </row>
    <row r="243" spans="1:10" ht="45" customHeight="1" thickBot="1" x14ac:dyDescent="0.2">
      <c r="A243" s="12">
        <f>SUBTOTAL(3,$B$2:B243)</f>
        <v>242</v>
      </c>
      <c r="B243" s="40" t="s">
        <v>1078</v>
      </c>
      <c r="C243" s="6">
        <v>129043.97</v>
      </c>
      <c r="D243" s="14">
        <v>129043.97</v>
      </c>
      <c r="E243" s="36" t="s">
        <v>1256</v>
      </c>
      <c r="F243" s="6"/>
      <c r="H243" s="12"/>
      <c r="I243" s="12"/>
      <c r="J243" s="6">
        <v>0</v>
      </c>
    </row>
    <row r="244" spans="1:10" ht="45" customHeight="1" thickBot="1" x14ac:dyDescent="0.2">
      <c r="A244" s="12">
        <f>SUBTOTAL(3,$B$2:B244)</f>
        <v>243</v>
      </c>
      <c r="B244" s="40" t="s">
        <v>1079</v>
      </c>
      <c r="C244" s="6">
        <v>476670</v>
      </c>
      <c r="D244" s="14">
        <v>561670</v>
      </c>
      <c r="E244" s="26" t="s">
        <v>1134</v>
      </c>
      <c r="F244" s="6"/>
      <c r="G244" s="12" t="s">
        <v>1293</v>
      </c>
      <c r="H244" s="12" t="s">
        <v>1294</v>
      </c>
      <c r="I244" s="12"/>
      <c r="J244" s="6">
        <v>85000</v>
      </c>
    </row>
    <row r="245" spans="1:10" ht="45" customHeight="1" thickBot="1" x14ac:dyDescent="0.2">
      <c r="A245" s="12">
        <f>SUBTOTAL(3,$B$2:B245)</f>
        <v>244</v>
      </c>
      <c r="B245" s="40" t="s">
        <v>1080</v>
      </c>
      <c r="C245" s="6">
        <v>238150</v>
      </c>
      <c r="D245" s="14">
        <v>248150</v>
      </c>
      <c r="E245" s="37" t="s">
        <v>1137</v>
      </c>
      <c r="F245" s="6"/>
      <c r="G245" s="12" t="s">
        <v>1142</v>
      </c>
      <c r="H245" s="12" t="s">
        <v>1143</v>
      </c>
      <c r="I245" s="12"/>
      <c r="J245" s="6">
        <v>10000</v>
      </c>
    </row>
    <row r="246" spans="1:10" ht="45" customHeight="1" thickBot="1" x14ac:dyDescent="0.2">
      <c r="A246" s="12">
        <f>SUBTOTAL(3,$B$2:B246)</f>
        <v>245</v>
      </c>
      <c r="B246" s="40" t="s">
        <v>1081</v>
      </c>
      <c r="C246" s="6">
        <v>45864.160000000003</v>
      </c>
      <c r="D246" s="14">
        <v>266500.15999999997</v>
      </c>
      <c r="E246" s="26"/>
      <c r="F246" s="6"/>
      <c r="H246" s="12"/>
      <c r="I246" s="12"/>
      <c r="J246" s="6">
        <v>220636</v>
      </c>
    </row>
    <row r="247" spans="1:10" ht="45" customHeight="1" thickBot="1" x14ac:dyDescent="0.2">
      <c r="A247" s="12">
        <f>SUBTOTAL(3,$B$2:B247)</f>
        <v>246</v>
      </c>
      <c r="B247" s="40" t="s">
        <v>1082</v>
      </c>
      <c r="C247" s="6">
        <v>67550.61</v>
      </c>
      <c r="D247" s="14">
        <v>76049.61</v>
      </c>
      <c r="E247" s="26" t="s">
        <v>1134</v>
      </c>
      <c r="F247" s="6"/>
      <c r="G247" s="12" t="s">
        <v>1195</v>
      </c>
      <c r="H247" s="42" t="s">
        <v>1219</v>
      </c>
      <c r="I247" s="12"/>
      <c r="J247" s="6">
        <v>120949</v>
      </c>
    </row>
    <row r="248" spans="1:10" ht="45" customHeight="1" thickBot="1" x14ac:dyDescent="0.2">
      <c r="A248" s="12">
        <f>SUBTOTAL(3,$B$2:B248)</f>
        <v>247</v>
      </c>
      <c r="B248" s="40" t="s">
        <v>1083</v>
      </c>
      <c r="C248" s="6">
        <v>211640.45</v>
      </c>
      <c r="D248" s="14">
        <v>478640.45</v>
      </c>
      <c r="E248" s="37"/>
      <c r="F248" s="6"/>
      <c r="H248" s="6"/>
      <c r="I248" s="12"/>
      <c r="J248" s="6">
        <v>267000</v>
      </c>
    </row>
    <row r="249" spans="1:10" ht="45" customHeight="1" thickBot="1" x14ac:dyDescent="0.2">
      <c r="A249" s="12">
        <f>SUBTOTAL(3,$B$2:B249)</f>
        <v>248</v>
      </c>
      <c r="B249" s="40" t="s">
        <v>1084</v>
      </c>
      <c r="C249" s="6">
        <v>816890</v>
      </c>
      <c r="D249" s="14">
        <v>962490</v>
      </c>
      <c r="E249" s="26" t="s">
        <v>1134</v>
      </c>
      <c r="F249" s="6"/>
      <c r="G249" s="12" t="s">
        <v>1207</v>
      </c>
      <c r="H249" s="42" t="s">
        <v>1212</v>
      </c>
      <c r="I249" s="12"/>
      <c r="J249" s="6">
        <v>145600</v>
      </c>
    </row>
    <row r="250" spans="1:10" ht="45" customHeight="1" thickBot="1" x14ac:dyDescent="0.2">
      <c r="A250" s="12">
        <f>SUBTOTAL(3,$B$2:B250)</f>
        <v>249</v>
      </c>
      <c r="B250" s="40" t="s">
        <v>1085</v>
      </c>
      <c r="C250" s="6">
        <v>404095</v>
      </c>
      <c r="D250" s="14">
        <v>0</v>
      </c>
      <c r="E250" s="26" t="s">
        <v>1134</v>
      </c>
      <c r="F250" s="6"/>
      <c r="G250" s="12" t="s">
        <v>1184</v>
      </c>
      <c r="H250" s="42" t="s">
        <v>1229</v>
      </c>
      <c r="I250" s="12"/>
      <c r="J250" s="6">
        <v>20000</v>
      </c>
    </row>
    <row r="251" spans="1:10" ht="45" customHeight="1" thickBot="1" x14ac:dyDescent="0.2">
      <c r="A251" s="12">
        <f>SUBTOTAL(3,$B$2:B251)</f>
        <v>250</v>
      </c>
      <c r="B251" s="40" t="s">
        <v>1086</v>
      </c>
      <c r="C251" s="6">
        <v>431790</v>
      </c>
      <c r="D251" s="14">
        <v>0</v>
      </c>
      <c r="E251" s="26" t="s">
        <v>1134</v>
      </c>
      <c r="F251" s="6"/>
      <c r="G251" s="12" t="s">
        <v>1183</v>
      </c>
      <c r="H251" s="42" t="s">
        <v>1230</v>
      </c>
      <c r="I251" s="12"/>
      <c r="J251" s="6">
        <v>50000</v>
      </c>
    </row>
    <row r="252" spans="1:10" ht="45" customHeight="1" thickBot="1" x14ac:dyDescent="0.2">
      <c r="A252" s="12">
        <f>SUBTOTAL(3,$B$2:B252)</f>
        <v>251</v>
      </c>
      <c r="B252" s="40" t="s">
        <v>1087</v>
      </c>
      <c r="C252" s="6">
        <v>275792.36</v>
      </c>
      <c r="D252" s="14">
        <v>471310.04000000004</v>
      </c>
      <c r="E252" s="26" t="s">
        <v>1134</v>
      </c>
      <c r="F252" s="6"/>
      <c r="G252" s="12" t="s">
        <v>1288</v>
      </c>
      <c r="H252" s="12" t="s">
        <v>1289</v>
      </c>
      <c r="I252" s="12"/>
      <c r="J252" s="6">
        <v>50000</v>
      </c>
    </row>
    <row r="253" spans="1:10" ht="45" customHeight="1" thickBot="1" x14ac:dyDescent="0.2">
      <c r="A253" s="12">
        <f>SUBTOTAL(3,$B$2:B253)</f>
        <v>252</v>
      </c>
      <c r="B253" s="40" t="s">
        <v>1088</v>
      </c>
      <c r="C253" s="6">
        <v>179961.56</v>
      </c>
      <c r="D253" s="14">
        <v>289961.56</v>
      </c>
      <c r="E253" s="26"/>
      <c r="F253" s="6"/>
      <c r="H253" s="12"/>
      <c r="I253" s="12"/>
      <c r="J253" s="6">
        <v>110000</v>
      </c>
    </row>
    <row r="254" spans="1:10" ht="45" customHeight="1" thickBot="1" x14ac:dyDescent="0.2">
      <c r="A254" s="12">
        <f>SUBTOTAL(3,$B$2:B254)</f>
        <v>253</v>
      </c>
      <c r="B254" s="40" t="s">
        <v>1089</v>
      </c>
      <c r="C254" s="6">
        <v>-0.28000000000000003</v>
      </c>
      <c r="D254" s="14">
        <v>109999.72</v>
      </c>
      <c r="E254" s="26" t="s">
        <v>1134</v>
      </c>
      <c r="F254" s="6"/>
      <c r="G254" s="12" t="s">
        <v>1220</v>
      </c>
      <c r="H254" s="12"/>
      <c r="I254" s="12"/>
      <c r="J254" s="6">
        <v>110000</v>
      </c>
    </row>
    <row r="255" spans="1:10" ht="45" customHeight="1" thickBot="1" x14ac:dyDescent="0.2">
      <c r="A255" s="12">
        <f>SUBTOTAL(3,$B$2:B255)</f>
        <v>254</v>
      </c>
      <c r="B255" s="40" t="s">
        <v>1090</v>
      </c>
      <c r="C255" s="6">
        <v>863632</v>
      </c>
      <c r="D255" s="14">
        <v>696260</v>
      </c>
      <c r="E255" s="26" t="s">
        <v>1134</v>
      </c>
      <c r="F255" s="6"/>
      <c r="G255" s="12" t="s">
        <v>1192</v>
      </c>
      <c r="H255" s="42" t="s">
        <v>1221</v>
      </c>
      <c r="I255" s="12"/>
      <c r="J255" s="6">
        <v>426000</v>
      </c>
    </row>
    <row r="256" spans="1:10" ht="45" customHeight="1" thickBot="1" x14ac:dyDescent="0.2">
      <c r="A256" s="12">
        <f>SUBTOTAL(3,$B$2:B256)</f>
        <v>255</v>
      </c>
      <c r="B256" s="40" t="s">
        <v>1091</v>
      </c>
      <c r="C256" s="6">
        <v>7367531.7800000003</v>
      </c>
      <c r="D256" s="14">
        <v>2265298.06</v>
      </c>
      <c r="E256" s="26"/>
      <c r="F256" s="6"/>
      <c r="H256" s="12"/>
      <c r="I256" s="12"/>
      <c r="J256" s="6">
        <v>1599600</v>
      </c>
    </row>
    <row r="257" spans="1:10" ht="45" customHeight="1" thickBot="1" x14ac:dyDescent="0.2">
      <c r="A257" s="12">
        <f>SUBTOTAL(3,$B$2:B257)</f>
        <v>256</v>
      </c>
      <c r="B257" s="40" t="s">
        <v>1092</v>
      </c>
      <c r="C257" s="6">
        <v>689540</v>
      </c>
      <c r="D257" s="14">
        <v>716540</v>
      </c>
      <c r="E257" s="36"/>
      <c r="F257" s="6"/>
      <c r="H257" s="12"/>
      <c r="I257" s="12"/>
      <c r="J257" s="6">
        <v>27000</v>
      </c>
    </row>
    <row r="258" spans="1:10" ht="45" customHeight="1" thickBot="1" x14ac:dyDescent="0.2">
      <c r="A258" s="12">
        <f>SUBTOTAL(3,$B$2:B258)</f>
        <v>257</v>
      </c>
      <c r="B258" s="40" t="s">
        <v>1093</v>
      </c>
      <c r="C258" s="6">
        <v>1066001.8600000001</v>
      </c>
      <c r="D258" s="14">
        <v>513545.33</v>
      </c>
      <c r="E258" s="36" t="s">
        <v>1134</v>
      </c>
      <c r="F258" s="6"/>
      <c r="G258" s="12" t="s">
        <v>1159</v>
      </c>
      <c r="H258" s="6" t="s">
        <v>1250</v>
      </c>
      <c r="I258" s="12"/>
      <c r="J258" s="6">
        <v>100000</v>
      </c>
    </row>
    <row r="259" spans="1:10" ht="45" customHeight="1" thickBot="1" x14ac:dyDescent="0.2">
      <c r="A259" s="12">
        <f>SUBTOTAL(3,$B$2:B259)</f>
        <v>258</v>
      </c>
      <c r="B259" s="40" t="s">
        <v>1094</v>
      </c>
      <c r="C259" s="6">
        <v>8879290.9499999993</v>
      </c>
      <c r="D259" s="14">
        <v>9799945.9499999993</v>
      </c>
      <c r="E259" s="36" t="s">
        <v>1257</v>
      </c>
      <c r="F259" s="6"/>
      <c r="H259" s="6"/>
      <c r="I259" s="12"/>
      <c r="J259" s="6">
        <v>570000</v>
      </c>
    </row>
    <row r="260" spans="1:10" ht="45" customHeight="1" thickBot="1" x14ac:dyDescent="0.2">
      <c r="A260" s="12">
        <f>SUBTOTAL(3,$B$2:B260)</f>
        <v>259</v>
      </c>
      <c r="B260" s="40" t="s">
        <v>1095</v>
      </c>
      <c r="C260" s="6">
        <v>5829613.4400000004</v>
      </c>
      <c r="D260" s="14">
        <v>6163976</v>
      </c>
      <c r="E260" s="37"/>
      <c r="F260" s="6"/>
      <c r="H260" s="12"/>
      <c r="I260" s="12"/>
      <c r="J260" s="6">
        <v>290000</v>
      </c>
    </row>
    <row r="261" spans="1:10" ht="45" customHeight="1" thickBot="1" x14ac:dyDescent="0.2">
      <c r="A261" s="12">
        <f>SUBTOTAL(3,$B$2:B261)</f>
        <v>260</v>
      </c>
      <c r="B261" s="40" t="s">
        <v>1096</v>
      </c>
      <c r="C261" s="6">
        <v>18407.95</v>
      </c>
      <c r="D261" s="14">
        <v>43407.950000000004</v>
      </c>
      <c r="E261" s="36" t="s">
        <v>1134</v>
      </c>
      <c r="F261" s="6"/>
      <c r="G261" s="12" t="s">
        <v>1266</v>
      </c>
      <c r="H261" s="12" t="s">
        <v>1267</v>
      </c>
      <c r="I261" s="17"/>
      <c r="J261" s="6">
        <v>25000</v>
      </c>
    </row>
    <row r="262" spans="1:10" ht="45" customHeight="1" thickBot="1" x14ac:dyDescent="0.2">
      <c r="A262" s="12">
        <f>SUBTOTAL(3,$B$2:B262)</f>
        <v>261</v>
      </c>
      <c r="B262" s="40" t="s">
        <v>1097</v>
      </c>
      <c r="C262" s="6">
        <v>497842.15</v>
      </c>
      <c r="D262" s="14">
        <v>222900.45</v>
      </c>
      <c r="E262" s="36"/>
      <c r="F262" s="6"/>
      <c r="H262" s="6"/>
      <c r="I262" s="12"/>
      <c r="J262" s="6">
        <v>170000</v>
      </c>
    </row>
    <row r="263" spans="1:10" ht="45" customHeight="1" thickBot="1" x14ac:dyDescent="0.2">
      <c r="A263" s="12">
        <f>SUBTOTAL(3,$B$2:B263)</f>
        <v>262</v>
      </c>
      <c r="B263" s="40" t="s">
        <v>1098</v>
      </c>
      <c r="C263" s="6">
        <v>1903811.85</v>
      </c>
      <c r="D263" s="14">
        <v>-1.29</v>
      </c>
      <c r="E263" s="36" t="s">
        <v>1134</v>
      </c>
      <c r="F263" s="6"/>
      <c r="G263" s="12" t="s">
        <v>1209</v>
      </c>
      <c r="H263" s="12" t="s">
        <v>1210</v>
      </c>
      <c r="I263" s="17"/>
      <c r="J263" s="6">
        <v>523720</v>
      </c>
    </row>
    <row r="264" spans="1:10" ht="45" customHeight="1" thickBot="1" x14ac:dyDescent="0.2">
      <c r="A264" s="12">
        <f>SUBTOTAL(3,$B$2:B264)</f>
        <v>263</v>
      </c>
      <c r="B264" s="40" t="s">
        <v>1099</v>
      </c>
      <c r="C264" s="6">
        <v>544110</v>
      </c>
      <c r="D264" s="14">
        <v>200400</v>
      </c>
      <c r="E264" s="36" t="s">
        <v>1134</v>
      </c>
      <c r="F264" s="6"/>
      <c r="G264" s="12" t="s">
        <v>1191</v>
      </c>
      <c r="H264" s="42" t="s">
        <v>1225</v>
      </c>
      <c r="I264" s="12"/>
      <c r="J264" s="6">
        <v>528500</v>
      </c>
    </row>
    <row r="265" spans="1:10" ht="45" customHeight="1" thickBot="1" x14ac:dyDescent="0.2">
      <c r="A265" s="12">
        <f>SUBTOTAL(3,$B$2:B265)</f>
        <v>264</v>
      </c>
      <c r="B265" s="40" t="s">
        <v>1100</v>
      </c>
      <c r="C265" s="6">
        <v>3470996</v>
      </c>
      <c r="D265" s="14">
        <v>412400</v>
      </c>
      <c r="E265" s="26" t="s">
        <v>1251</v>
      </c>
      <c r="F265" s="6"/>
      <c r="H265" s="12"/>
      <c r="I265" s="12"/>
      <c r="J265" s="6">
        <v>1351400</v>
      </c>
    </row>
    <row r="266" spans="1:10" ht="45" customHeight="1" thickBot="1" x14ac:dyDescent="0.2">
      <c r="A266" s="12">
        <f>SUBTOTAL(3,$B$2:B266)</f>
        <v>265</v>
      </c>
      <c r="B266" s="40" t="s">
        <v>1101</v>
      </c>
      <c r="C266" s="6">
        <v>327250</v>
      </c>
      <c r="D266" s="14">
        <v>412250</v>
      </c>
      <c r="E266" s="26" t="s">
        <v>1137</v>
      </c>
      <c r="F266" s="6"/>
      <c r="H266" s="12"/>
      <c r="I266" s="12"/>
      <c r="J266" s="6">
        <v>85000</v>
      </c>
    </row>
    <row r="267" spans="1:10" ht="45" customHeight="1" thickBot="1" x14ac:dyDescent="0.2">
      <c r="A267" s="12">
        <f>SUBTOTAL(3,$B$2:B267)</f>
        <v>266</v>
      </c>
      <c r="B267" s="40" t="s">
        <v>1102</v>
      </c>
      <c r="C267" s="6">
        <v>271900</v>
      </c>
      <c r="D267" s="14">
        <v>239400</v>
      </c>
      <c r="E267" s="37"/>
      <c r="F267" s="6"/>
      <c r="H267" s="12"/>
      <c r="I267" s="12"/>
      <c r="J267" s="6">
        <v>95000</v>
      </c>
    </row>
    <row r="268" spans="1:10" ht="45" customHeight="1" thickBot="1" x14ac:dyDescent="0.2">
      <c r="A268" s="12">
        <f>SUBTOTAL(3,$B$2:B268)</f>
        <v>267</v>
      </c>
      <c r="B268" s="40" t="s">
        <v>841</v>
      </c>
      <c r="C268" s="6">
        <v>1040188.88</v>
      </c>
      <c r="D268" s="14">
        <v>970848.88</v>
      </c>
      <c r="E268" s="26"/>
      <c r="F268" s="6"/>
      <c r="H268" s="12"/>
      <c r="I268" s="12"/>
      <c r="J268" s="6">
        <v>100000</v>
      </c>
    </row>
    <row r="269" spans="1:10" ht="45" customHeight="1" thickBot="1" x14ac:dyDescent="0.2">
      <c r="A269" s="12">
        <f>SUBTOTAL(3,$B$2:B269)</f>
        <v>268</v>
      </c>
      <c r="B269" s="40" t="s">
        <v>1103</v>
      </c>
      <c r="C269" s="6">
        <v>401031.12</v>
      </c>
      <c r="D269" s="14">
        <v>-9215.8799999999992</v>
      </c>
      <c r="E269" s="36"/>
      <c r="F269" s="6"/>
      <c r="H269" s="12"/>
      <c r="I269" s="12"/>
      <c r="J269" s="6">
        <v>270000</v>
      </c>
    </row>
    <row r="270" spans="1:10" ht="45" customHeight="1" thickBot="1" x14ac:dyDescent="0.2">
      <c r="A270" s="12">
        <f>SUBTOTAL(3,$B$2:B270)</f>
        <v>269</v>
      </c>
      <c r="B270" s="40" t="s">
        <v>1104</v>
      </c>
      <c r="C270" s="6">
        <v>850000.82000000007</v>
      </c>
      <c r="D270" s="14">
        <v>459772.82</v>
      </c>
      <c r="E270" s="36"/>
      <c r="F270" s="6"/>
      <c r="H270" s="6"/>
      <c r="I270" s="12"/>
      <c r="J270" s="6">
        <v>459772</v>
      </c>
    </row>
    <row r="271" spans="1:10" ht="45" customHeight="1" thickBot="1" x14ac:dyDescent="0.2">
      <c r="A271" s="12">
        <f>SUBTOTAL(3,$B$2:B271)</f>
        <v>270</v>
      </c>
      <c r="B271" s="40" t="s">
        <v>1105</v>
      </c>
      <c r="C271" s="6">
        <v>1840375</v>
      </c>
      <c r="D271" s="14">
        <v>1940375</v>
      </c>
      <c r="E271" s="26" t="s">
        <v>1251</v>
      </c>
      <c r="F271" s="6"/>
      <c r="H271" s="12"/>
      <c r="I271" s="12"/>
      <c r="J271" s="6">
        <v>100000</v>
      </c>
    </row>
    <row r="272" spans="1:10" ht="45" customHeight="1" thickBot="1" x14ac:dyDescent="0.2">
      <c r="A272" s="12">
        <f>SUBTOTAL(3,$B$2:B272)</f>
        <v>271</v>
      </c>
      <c r="B272" s="40" t="s">
        <v>1106</v>
      </c>
      <c r="C272" s="6">
        <v>80785</v>
      </c>
      <c r="D272" s="14">
        <v>380</v>
      </c>
      <c r="E272" s="37" t="s">
        <v>1156</v>
      </c>
      <c r="F272" s="6"/>
      <c r="H272" s="12" t="s">
        <v>1292</v>
      </c>
      <c r="I272" s="17" t="s">
        <v>1291</v>
      </c>
      <c r="J272" s="6">
        <v>350000</v>
      </c>
    </row>
    <row r="273" spans="1:10" ht="45" customHeight="1" thickBot="1" x14ac:dyDescent="0.2">
      <c r="A273" s="12">
        <f>SUBTOTAL(3,$B$2:B273)</f>
        <v>272</v>
      </c>
      <c r="B273" s="40" t="s">
        <v>1107</v>
      </c>
      <c r="C273" s="6">
        <v>1084660.22</v>
      </c>
      <c r="D273" s="14">
        <v>802450.22</v>
      </c>
      <c r="E273" s="37"/>
      <c r="F273" s="6"/>
      <c r="H273" s="12"/>
      <c r="I273" s="12"/>
      <c r="J273" s="6">
        <v>763180</v>
      </c>
    </row>
    <row r="274" spans="1:10" ht="45" customHeight="1" thickBot="1" x14ac:dyDescent="0.2">
      <c r="A274" s="12">
        <f>SUBTOTAL(3,$B$2:B274)</f>
        <v>273</v>
      </c>
      <c r="B274" s="40" t="s">
        <v>1108</v>
      </c>
      <c r="C274" s="6">
        <v>2469380</v>
      </c>
      <c r="D274" s="14">
        <v>54294</v>
      </c>
      <c r="E274" s="36"/>
      <c r="F274" s="6"/>
      <c r="H274" s="12"/>
      <c r="I274" s="12"/>
      <c r="J274" s="6">
        <v>48500</v>
      </c>
    </row>
    <row r="275" spans="1:10" ht="45" customHeight="1" thickBot="1" x14ac:dyDescent="0.2">
      <c r="A275" s="12">
        <f>SUBTOTAL(3,$B$2:B275)</f>
        <v>274</v>
      </c>
      <c r="B275" s="40" t="s">
        <v>1109</v>
      </c>
      <c r="C275" s="6">
        <v>1823010</v>
      </c>
      <c r="D275" s="14">
        <v>1312610</v>
      </c>
      <c r="E275" s="26" t="s">
        <v>1134</v>
      </c>
      <c r="F275" s="6"/>
      <c r="G275" s="12" t="s">
        <v>1262</v>
      </c>
      <c r="H275" s="12" t="s">
        <v>1263</v>
      </c>
      <c r="I275" s="12"/>
      <c r="J275" s="6">
        <v>200000</v>
      </c>
    </row>
    <row r="276" spans="1:10" ht="45" customHeight="1" thickBot="1" x14ac:dyDescent="0.2">
      <c r="A276" s="12">
        <f>SUBTOTAL(3,$B$2:B276)</f>
        <v>275</v>
      </c>
      <c r="B276" s="40" t="s">
        <v>1110</v>
      </c>
      <c r="C276" s="6">
        <v>118924</v>
      </c>
      <c r="D276" s="14">
        <v>118924</v>
      </c>
      <c r="E276" s="36"/>
      <c r="F276" s="6"/>
      <c r="H276" s="12"/>
      <c r="I276" s="12"/>
      <c r="J276" s="6">
        <v>0</v>
      </c>
    </row>
    <row r="277" spans="1:10" ht="45" customHeight="1" thickBot="1" x14ac:dyDescent="0.2">
      <c r="A277" s="12">
        <f>SUBTOTAL(3,$B$2:B277)</f>
        <v>276</v>
      </c>
      <c r="B277" s="40" t="s">
        <v>1111</v>
      </c>
      <c r="C277" s="6">
        <v>484085.28</v>
      </c>
      <c r="D277" s="14">
        <v>469733.28</v>
      </c>
      <c r="E277" s="37" t="s">
        <v>1134</v>
      </c>
      <c r="F277" s="6"/>
      <c r="G277" s="12" t="s">
        <v>1186</v>
      </c>
      <c r="H277" s="42" t="s">
        <v>1227</v>
      </c>
      <c r="I277" s="12"/>
      <c r="J277" s="6">
        <v>80000</v>
      </c>
    </row>
    <row r="278" spans="1:10" ht="45" customHeight="1" thickBot="1" x14ac:dyDescent="0.2">
      <c r="A278" s="12">
        <f>SUBTOTAL(3,$B$2:B278)</f>
        <v>277</v>
      </c>
      <c r="B278" s="40" t="s">
        <v>1112</v>
      </c>
      <c r="C278" s="6">
        <v>527506</v>
      </c>
      <c r="D278" s="14">
        <v>649640</v>
      </c>
      <c r="E278" s="37"/>
      <c r="F278" s="6"/>
      <c r="H278" s="12"/>
      <c r="I278" s="12"/>
      <c r="J278" s="6">
        <v>105000</v>
      </c>
    </row>
    <row r="279" spans="1:10" ht="45" customHeight="1" thickBot="1" x14ac:dyDescent="0.2">
      <c r="A279" s="12">
        <f>SUBTOTAL(3,$B$2:B279)</f>
        <v>278</v>
      </c>
      <c r="B279" s="40" t="s">
        <v>1113</v>
      </c>
      <c r="C279" s="6">
        <v>2191627</v>
      </c>
      <c r="D279" s="14">
        <v>1020497</v>
      </c>
      <c r="E279" s="26" t="s">
        <v>1156</v>
      </c>
      <c r="F279" s="6"/>
      <c r="G279" s="12" t="s">
        <v>1282</v>
      </c>
      <c r="H279" s="12" t="s">
        <v>1283</v>
      </c>
      <c r="I279" s="12" t="s">
        <v>1284</v>
      </c>
      <c r="J279" s="6">
        <v>600000</v>
      </c>
    </row>
    <row r="280" spans="1:10" ht="45" customHeight="1" thickBot="1" x14ac:dyDescent="0.2">
      <c r="A280" s="12">
        <f>SUBTOTAL(3,$B$2:B280)</f>
        <v>279</v>
      </c>
      <c r="B280" s="40" t="s">
        <v>1114</v>
      </c>
      <c r="C280" s="6">
        <v>1623259</v>
      </c>
      <c r="D280" s="14">
        <v>1535260</v>
      </c>
      <c r="E280" s="26"/>
      <c r="F280" s="6"/>
      <c r="H280" s="12"/>
      <c r="I280" s="12"/>
      <c r="J280" s="6">
        <v>1171000</v>
      </c>
    </row>
    <row r="281" spans="1:10" ht="45" customHeight="1" thickBot="1" x14ac:dyDescent="0.2">
      <c r="A281" s="12">
        <f>SUBTOTAL(3,$B$2:B281)</f>
        <v>280</v>
      </c>
      <c r="B281" s="40" t="s">
        <v>1115</v>
      </c>
      <c r="C281" s="6">
        <v>2502550</v>
      </c>
      <c r="D281" s="14">
        <v>0</v>
      </c>
      <c r="E281" s="26"/>
      <c r="F281" s="6"/>
      <c r="H281" s="12"/>
      <c r="I281" s="12"/>
      <c r="J281" s="6">
        <v>210000</v>
      </c>
    </row>
    <row r="282" spans="1:10" ht="45" customHeight="1" thickBot="1" x14ac:dyDescent="0.2">
      <c r="A282" s="12">
        <f>SUBTOTAL(3,$B$2:B282)</f>
        <v>281</v>
      </c>
      <c r="B282" s="40" t="s">
        <v>1116</v>
      </c>
      <c r="C282" s="6">
        <v>2344883</v>
      </c>
      <c r="D282" s="14">
        <v>0</v>
      </c>
      <c r="E282" s="26"/>
      <c r="F282" s="6"/>
      <c r="H282" s="12"/>
      <c r="I282" s="12"/>
      <c r="J282" s="6">
        <v>240000</v>
      </c>
    </row>
    <row r="283" spans="1:10" ht="45" customHeight="1" thickBot="1" x14ac:dyDescent="0.2">
      <c r="A283" s="12">
        <f>SUBTOTAL(3,$B$2:B283)</f>
        <v>282</v>
      </c>
      <c r="B283" s="40" t="s">
        <v>1117</v>
      </c>
      <c r="C283" s="6">
        <v>204880</v>
      </c>
      <c r="D283" s="14">
        <v>0</v>
      </c>
      <c r="E283" s="26" t="s">
        <v>1134</v>
      </c>
      <c r="F283" s="6"/>
      <c r="G283" s="12" t="s">
        <v>1205</v>
      </c>
      <c r="H283" s="12" t="s">
        <v>1287</v>
      </c>
      <c r="I283" s="12"/>
      <c r="J283" s="6">
        <v>70000</v>
      </c>
    </row>
    <row r="284" spans="1:10" ht="45" customHeight="1" thickBot="1" x14ac:dyDescent="0.2">
      <c r="A284" s="12">
        <f>SUBTOTAL(3,$B$2:B284)</f>
        <v>283</v>
      </c>
      <c r="B284" s="40" t="s">
        <v>1118</v>
      </c>
      <c r="C284" s="6">
        <v>62000</v>
      </c>
      <c r="D284" s="14">
        <v>0</v>
      </c>
      <c r="E284" s="26"/>
      <c r="F284" s="6"/>
      <c r="H284" s="12"/>
      <c r="I284" s="12"/>
      <c r="J284" s="6">
        <v>0</v>
      </c>
    </row>
    <row r="285" spans="1:10" ht="45" customHeight="1" thickBot="1" x14ac:dyDescent="0.2">
      <c r="A285" s="12">
        <f>SUBTOTAL(3,$B$2:B285)</f>
        <v>284</v>
      </c>
      <c r="B285" s="40" t="s">
        <v>1119</v>
      </c>
      <c r="C285" s="6">
        <v>31620</v>
      </c>
      <c r="D285" s="14">
        <v>0</v>
      </c>
      <c r="E285" s="26" t="s">
        <v>1134</v>
      </c>
      <c r="F285" s="6"/>
      <c r="G285" s="12" t="s">
        <v>1223</v>
      </c>
      <c r="H285" s="42" t="s">
        <v>1224</v>
      </c>
      <c r="I285" s="12"/>
      <c r="J285" s="6">
        <v>170000</v>
      </c>
    </row>
    <row r="286" spans="1:10" ht="45" customHeight="1" thickBot="1" x14ac:dyDescent="0.2">
      <c r="A286" s="12">
        <f>SUBTOTAL(3,$B$2:B286)</f>
        <v>285</v>
      </c>
      <c r="B286" s="40" t="s">
        <v>1120</v>
      </c>
      <c r="C286" s="6">
        <v>225770</v>
      </c>
      <c r="D286" s="14">
        <v>0</v>
      </c>
      <c r="E286" s="26" t="s">
        <v>1134</v>
      </c>
      <c r="F286" s="6"/>
      <c r="G286" s="12" t="s">
        <v>1185</v>
      </c>
      <c r="H286" s="42" t="s">
        <v>1228</v>
      </c>
      <c r="I286" s="12"/>
      <c r="J286" s="6">
        <v>95000</v>
      </c>
    </row>
    <row r="287" spans="1:10" ht="45" customHeight="1" thickBot="1" x14ac:dyDescent="0.2">
      <c r="A287" s="12">
        <f>SUBTOTAL(3,$B$2:B287)</f>
        <v>286</v>
      </c>
      <c r="B287" s="40" t="s">
        <v>1121</v>
      </c>
      <c r="C287" s="6">
        <v>250500</v>
      </c>
      <c r="D287" s="14">
        <v>0</v>
      </c>
      <c r="E287" s="26" t="s">
        <v>1144</v>
      </c>
      <c r="F287" s="6"/>
      <c r="G287" s="12" t="s">
        <v>1177</v>
      </c>
      <c r="H287" s="42" t="s">
        <v>1236</v>
      </c>
      <c r="I287" s="12"/>
      <c r="J287" s="6">
        <v>364800</v>
      </c>
    </row>
    <row r="288" spans="1:10" ht="45" customHeight="1" thickBot="1" x14ac:dyDescent="0.2">
      <c r="A288" s="12">
        <f>SUBTOTAL(3,$B$2:B288)</f>
        <v>287</v>
      </c>
      <c r="B288" s="40" t="s">
        <v>1122</v>
      </c>
      <c r="C288" s="6">
        <v>561080</v>
      </c>
      <c r="D288" s="14">
        <v>0</v>
      </c>
      <c r="E288" s="26" t="s">
        <v>1134</v>
      </c>
      <c r="F288" s="6"/>
      <c r="G288" s="12" t="s">
        <v>1188</v>
      </c>
      <c r="H288" s="42" t="s">
        <v>1222</v>
      </c>
      <c r="I288" s="12"/>
      <c r="J288" s="6">
        <v>331000</v>
      </c>
    </row>
    <row r="289" spans="1:10" ht="45" customHeight="1" thickBot="1" x14ac:dyDescent="0.2">
      <c r="A289" s="12">
        <f>SUBTOTAL(3,$B$2:B289)</f>
        <v>288</v>
      </c>
      <c r="B289" s="40" t="s">
        <v>1123</v>
      </c>
      <c r="C289" s="6">
        <v>307345</v>
      </c>
      <c r="D289" s="14">
        <v>0</v>
      </c>
      <c r="E289" s="26" t="s">
        <v>1134</v>
      </c>
      <c r="F289" s="6"/>
      <c r="G289" s="12" t="s">
        <v>1166</v>
      </c>
      <c r="H289" s="12" t="s">
        <v>1245</v>
      </c>
      <c r="I289" s="12"/>
      <c r="J289" s="6">
        <v>45000</v>
      </c>
    </row>
    <row r="290" spans="1:10" ht="45" customHeight="1" thickBot="1" x14ac:dyDescent="0.2">
      <c r="A290" s="12">
        <f>SUBTOTAL(3,$B$2:B290)</f>
        <v>289</v>
      </c>
      <c r="B290" s="40" t="s">
        <v>1124</v>
      </c>
      <c r="C290" s="6">
        <v>1081680</v>
      </c>
      <c r="D290" s="14">
        <v>0</v>
      </c>
      <c r="E290" s="26" t="s">
        <v>1134</v>
      </c>
      <c r="F290" s="6"/>
      <c r="G290" s="12" t="s">
        <v>1264</v>
      </c>
      <c r="H290" s="12" t="s">
        <v>1265</v>
      </c>
      <c r="I290" s="12"/>
      <c r="J290" s="6">
        <v>220000</v>
      </c>
    </row>
    <row r="291" spans="1:10" ht="45" customHeight="1" thickBot="1" x14ac:dyDescent="0.2">
      <c r="A291" s="12">
        <f>SUBTOTAL(3,$B$2:B291)</f>
        <v>290</v>
      </c>
      <c r="B291" s="40" t="s">
        <v>1125</v>
      </c>
      <c r="C291" s="6">
        <v>905820</v>
      </c>
      <c r="D291" s="14">
        <v>0</v>
      </c>
      <c r="E291" s="26" t="s">
        <v>1134</v>
      </c>
      <c r="F291" s="6"/>
      <c r="H291" s="12"/>
      <c r="I291" s="12"/>
      <c r="J291" s="6">
        <v>30000</v>
      </c>
    </row>
    <row r="292" spans="1:10" ht="45" customHeight="1" thickBot="1" x14ac:dyDescent="0.2">
      <c r="A292" s="12">
        <f>SUBTOTAL(3,$B$2:B292)</f>
        <v>291</v>
      </c>
      <c r="B292" s="40" t="s">
        <v>1126</v>
      </c>
      <c r="C292" s="6">
        <v>139350</v>
      </c>
      <c r="D292" s="14">
        <v>0</v>
      </c>
      <c r="E292" s="26" t="s">
        <v>1144</v>
      </c>
      <c r="F292" s="6"/>
      <c r="G292" s="12" t="s">
        <v>1153</v>
      </c>
      <c r="H292" s="12" t="s">
        <v>1154</v>
      </c>
      <c r="I292" s="12"/>
      <c r="J292" s="6">
        <v>160850</v>
      </c>
    </row>
    <row r="293" spans="1:10" ht="45" customHeight="1" thickBot="1" x14ac:dyDescent="0.2">
      <c r="A293" s="12">
        <f>SUBTOTAL(3,$B$2:B293)</f>
        <v>292</v>
      </c>
      <c r="B293" s="40" t="s">
        <v>1127</v>
      </c>
      <c r="C293" s="6">
        <v>355410</v>
      </c>
      <c r="D293" s="14">
        <v>0</v>
      </c>
      <c r="E293" s="26"/>
      <c r="F293" s="6"/>
      <c r="H293" s="12"/>
      <c r="I293" s="12"/>
      <c r="J293" s="6">
        <v>0</v>
      </c>
    </row>
    <row r="294" spans="1:10" ht="45" customHeight="1" thickBot="1" x14ac:dyDescent="0.2">
      <c r="A294" s="12">
        <f t="shared" ref="A294" si="0">SUBTOTAL(3,$B$7:B294)</f>
        <v>288</v>
      </c>
      <c r="B294" s="40" t="s">
        <v>1128</v>
      </c>
      <c r="C294" s="6">
        <v>820249</v>
      </c>
      <c r="D294" s="14">
        <v>0</v>
      </c>
      <c r="E294" s="26" t="s">
        <v>1144</v>
      </c>
      <c r="F294" s="6"/>
      <c r="G294" s="12" t="s">
        <v>1149</v>
      </c>
      <c r="H294" s="12" t="s">
        <v>1150</v>
      </c>
      <c r="I294" s="12"/>
      <c r="J294" s="6">
        <v>0</v>
      </c>
    </row>
    <row r="295" spans="1:10" ht="15" customHeight="1" thickBot="1" x14ac:dyDescent="0.2"/>
    <row r="296" spans="1:10" ht="15" customHeight="1" thickBot="1" x14ac:dyDescent="0.2"/>
    <row r="297" spans="1:10" ht="15" customHeight="1" thickBot="1" x14ac:dyDescent="0.2"/>
    <row r="298" spans="1:10" ht="15" customHeight="1" thickBot="1" x14ac:dyDescent="0.2"/>
    <row r="299" spans="1:10" ht="15" customHeight="1" thickBot="1" x14ac:dyDescent="0.2"/>
    <row r="300" spans="1:10" ht="15" customHeight="1" thickBot="1" x14ac:dyDescent="0.2"/>
    <row r="301" spans="1:10" ht="15" customHeight="1" thickBot="1" x14ac:dyDescent="0.2"/>
    <row r="302" spans="1:10" ht="0" hidden="1" customHeight="1" x14ac:dyDescent="0.15"/>
    <row r="303" spans="1:10" ht="0" hidden="1" customHeight="1" x14ac:dyDescent="0.15"/>
    <row r="304" spans="1:10" ht="0" hidden="1" customHeight="1" x14ac:dyDescent="0.15"/>
    <row r="305" ht="0" hidden="1" customHeight="1" x14ac:dyDescent="0.15"/>
    <row r="306" ht="0" hidden="1" customHeight="1" x14ac:dyDescent="0.15"/>
    <row r="307" ht="0" hidden="1" customHeight="1" x14ac:dyDescent="0.15"/>
    <row r="308" ht="0" hidden="1" customHeight="1" x14ac:dyDescent="0.15"/>
    <row r="309" ht="0" hidden="1" customHeight="1" x14ac:dyDescent="0.15"/>
    <row r="310" ht="0" hidden="1" customHeight="1" x14ac:dyDescent="0.15"/>
    <row r="311" ht="0" hidden="1" customHeight="1" x14ac:dyDescent="0.15"/>
    <row r="312" ht="0" hidden="1" customHeight="1" x14ac:dyDescent="0.15"/>
    <row r="313" ht="0" hidden="1" customHeight="1" x14ac:dyDescent="0.15"/>
    <row r="314" ht="0" hidden="1" customHeight="1" x14ac:dyDescent="0.15"/>
    <row r="315" ht="0" hidden="1" customHeight="1" x14ac:dyDescent="0.15"/>
    <row r="316" ht="0" hidden="1" customHeight="1" x14ac:dyDescent="0.15"/>
    <row r="317" ht="0" hidden="1" customHeight="1" x14ac:dyDescent="0.15"/>
    <row r="318" ht="0" hidden="1" customHeight="1" x14ac:dyDescent="0.15"/>
    <row r="319" ht="0" hidden="1" customHeight="1" x14ac:dyDescent="0.15"/>
    <row r="320" ht="0" hidden="1" customHeight="1" x14ac:dyDescent="0.15"/>
    <row r="321" ht="0" hidden="1" customHeight="1" x14ac:dyDescent="0.15"/>
    <row r="322" ht="0" hidden="1" customHeight="1" x14ac:dyDescent="0.15"/>
    <row r="323" ht="0" hidden="1" customHeight="1" x14ac:dyDescent="0.15"/>
    <row r="324" ht="0" hidden="1" customHeight="1" x14ac:dyDescent="0.15"/>
    <row r="325" ht="0" hidden="1" customHeight="1" x14ac:dyDescent="0.15"/>
    <row r="326" ht="0" hidden="1" customHeight="1" x14ac:dyDescent="0.15"/>
    <row r="327" ht="0" hidden="1" customHeight="1" x14ac:dyDescent="0.15"/>
    <row r="328" ht="0" hidden="1" customHeight="1" x14ac:dyDescent="0.15"/>
    <row r="329" ht="0" hidden="1" customHeight="1" x14ac:dyDescent="0.15"/>
    <row r="330" ht="0" hidden="1" customHeight="1" x14ac:dyDescent="0.15"/>
    <row r="331" ht="0" hidden="1" customHeight="1" x14ac:dyDescent="0.15"/>
    <row r="332" ht="0" hidden="1" customHeight="1" x14ac:dyDescent="0.15"/>
    <row r="333" ht="0" hidden="1" customHeight="1" x14ac:dyDescent="0.15"/>
    <row r="334" ht="0" hidden="1" customHeight="1" x14ac:dyDescent="0.15"/>
    <row r="335" ht="0" hidden="1" customHeight="1" x14ac:dyDescent="0.15"/>
    <row r="336" ht="0" hidden="1" customHeight="1" x14ac:dyDescent="0.15"/>
    <row r="337" ht="0" hidden="1" customHeight="1" x14ac:dyDescent="0.15"/>
    <row r="338" ht="0" hidden="1" customHeight="1" x14ac:dyDescent="0.15"/>
    <row r="339" ht="0" hidden="1" customHeight="1" x14ac:dyDescent="0.15"/>
    <row r="340" ht="0" hidden="1" customHeight="1" x14ac:dyDescent="0.15"/>
    <row r="341" ht="0" hidden="1" customHeight="1" x14ac:dyDescent="0.15"/>
    <row r="342" ht="0" hidden="1" customHeight="1" x14ac:dyDescent="0.15"/>
    <row r="343" ht="0" hidden="1" customHeight="1" x14ac:dyDescent="0.15"/>
    <row r="344" ht="0" hidden="1" customHeight="1" x14ac:dyDescent="0.15"/>
    <row r="345" ht="0" hidden="1" customHeight="1" x14ac:dyDescent="0.15"/>
    <row r="346" ht="0" hidden="1" customHeight="1" x14ac:dyDescent="0.15"/>
    <row r="347" ht="0" hidden="1" customHeight="1" x14ac:dyDescent="0.15"/>
    <row r="348" ht="0" hidden="1" customHeight="1" x14ac:dyDescent="0.15"/>
    <row r="349" ht="0" hidden="1" customHeight="1" x14ac:dyDescent="0.15"/>
    <row r="350" ht="0" hidden="1" customHeight="1" x14ac:dyDescent="0.15"/>
    <row r="351" ht="0" hidden="1" customHeight="1" x14ac:dyDescent="0.15"/>
    <row r="352" ht="0" hidden="1" customHeight="1" x14ac:dyDescent="0.15"/>
    <row r="353" ht="0" hidden="1" customHeight="1" x14ac:dyDescent="0.15"/>
    <row r="354" ht="0" hidden="1" customHeight="1" x14ac:dyDescent="0.15"/>
    <row r="355" ht="0" hidden="1" customHeight="1" x14ac:dyDescent="0.15"/>
    <row r="356" ht="0" hidden="1" customHeight="1" x14ac:dyDescent="0.15"/>
    <row r="357" ht="0" hidden="1" customHeight="1" x14ac:dyDescent="0.15"/>
    <row r="358" ht="0" hidden="1" customHeight="1" x14ac:dyDescent="0.15"/>
    <row r="359" ht="0" hidden="1" customHeight="1" x14ac:dyDescent="0.15"/>
    <row r="360" ht="0" hidden="1" customHeight="1" x14ac:dyDescent="0.15"/>
    <row r="361" ht="0" hidden="1" customHeight="1" x14ac:dyDescent="0.15"/>
    <row r="362" ht="0" hidden="1" customHeight="1" x14ac:dyDescent="0.15"/>
    <row r="363" ht="0" hidden="1" customHeight="1" x14ac:dyDescent="0.15"/>
    <row r="364" ht="0" hidden="1" customHeight="1" x14ac:dyDescent="0.15"/>
    <row r="365" ht="0" hidden="1" customHeight="1" x14ac:dyDescent="0.15"/>
    <row r="366" ht="0" hidden="1" customHeight="1" x14ac:dyDescent="0.15"/>
    <row r="367" ht="0" hidden="1" customHeight="1" x14ac:dyDescent="0.15"/>
    <row r="368" ht="0" hidden="1" customHeight="1" x14ac:dyDescent="0.15"/>
    <row r="369" ht="0" hidden="1" customHeight="1" x14ac:dyDescent="0.15"/>
    <row r="370" ht="0" hidden="1" customHeight="1" x14ac:dyDescent="0.15"/>
    <row r="371" ht="0" hidden="1" customHeight="1" x14ac:dyDescent="0.15"/>
    <row r="372" ht="0" hidden="1" customHeight="1" x14ac:dyDescent="0.15"/>
    <row r="373" ht="0" hidden="1" customHeight="1" x14ac:dyDescent="0.15"/>
    <row r="374" ht="0" hidden="1" customHeight="1" x14ac:dyDescent="0.15"/>
    <row r="375" ht="0" hidden="1" customHeight="1" x14ac:dyDescent="0.15"/>
    <row r="376" ht="0" hidden="1" customHeight="1" x14ac:dyDescent="0.15"/>
    <row r="377" ht="0" hidden="1" customHeight="1" x14ac:dyDescent="0.15"/>
    <row r="378" ht="0" hidden="1" customHeight="1" x14ac:dyDescent="0.15"/>
    <row r="379" ht="0" hidden="1" customHeight="1" x14ac:dyDescent="0.15"/>
    <row r="380" ht="0" hidden="1" customHeight="1" x14ac:dyDescent="0.15"/>
    <row r="381" ht="0" hidden="1" customHeight="1" x14ac:dyDescent="0.15"/>
    <row r="382" ht="0" hidden="1" customHeight="1" x14ac:dyDescent="0.15"/>
    <row r="383" ht="0" hidden="1" customHeight="1" x14ac:dyDescent="0.15"/>
    <row r="384" ht="0" hidden="1" customHeight="1" x14ac:dyDescent="0.15"/>
    <row r="385" ht="0" hidden="1" customHeight="1" x14ac:dyDescent="0.15"/>
    <row r="386" ht="0" hidden="1" customHeight="1" x14ac:dyDescent="0.15"/>
    <row r="387" ht="0" hidden="1" customHeight="1" x14ac:dyDescent="0.15"/>
    <row r="388" ht="0" hidden="1" customHeight="1" x14ac:dyDescent="0.15"/>
    <row r="389" ht="0" hidden="1" customHeight="1" x14ac:dyDescent="0.15"/>
    <row r="390" ht="0" hidden="1" customHeight="1" x14ac:dyDescent="0.15"/>
    <row r="391" ht="0" hidden="1" customHeight="1" x14ac:dyDescent="0.15"/>
    <row r="392" ht="0" hidden="1" customHeight="1" x14ac:dyDescent="0.15"/>
    <row r="393" ht="0" hidden="1" customHeight="1" x14ac:dyDescent="0.15"/>
    <row r="394" ht="0" hidden="1" customHeight="1" x14ac:dyDescent="0.15"/>
    <row r="395" ht="0" hidden="1" customHeight="1" x14ac:dyDescent="0.15"/>
    <row r="396" ht="0" hidden="1" customHeight="1" x14ac:dyDescent="0.15"/>
    <row r="397" ht="0" hidden="1" customHeight="1" x14ac:dyDescent="0.15"/>
    <row r="398" ht="0" hidden="1" customHeight="1" x14ac:dyDescent="0.15"/>
    <row r="399" ht="0" hidden="1" customHeight="1" x14ac:dyDescent="0.15"/>
    <row r="400" ht="0" hidden="1" customHeight="1" x14ac:dyDescent="0.15"/>
    <row r="401" ht="0" hidden="1" customHeight="1" x14ac:dyDescent="0.15"/>
    <row r="402" ht="0" hidden="1" customHeight="1" x14ac:dyDescent="0.15"/>
    <row r="403" ht="0" hidden="1" customHeight="1" x14ac:dyDescent="0.15"/>
    <row r="404" ht="0" hidden="1" customHeight="1" x14ac:dyDescent="0.15"/>
    <row r="405" ht="0" hidden="1" customHeight="1" x14ac:dyDescent="0.15"/>
    <row r="406" ht="0" hidden="1" customHeight="1" x14ac:dyDescent="0.15"/>
    <row r="407" ht="0" hidden="1" customHeight="1" x14ac:dyDescent="0.15"/>
    <row r="408" ht="0" hidden="1" customHeight="1" x14ac:dyDescent="0.15"/>
    <row r="409" ht="0" hidden="1" customHeight="1" x14ac:dyDescent="0.15"/>
    <row r="410" ht="0" hidden="1" customHeight="1" x14ac:dyDescent="0.15"/>
    <row r="411" ht="0" hidden="1" customHeight="1" x14ac:dyDescent="0.15"/>
    <row r="412" ht="0" hidden="1" customHeight="1" x14ac:dyDescent="0.15"/>
    <row r="413" ht="0" hidden="1" customHeight="1" x14ac:dyDescent="0.15"/>
    <row r="414" ht="0" hidden="1" customHeight="1" x14ac:dyDescent="0.15"/>
    <row r="415" ht="0" hidden="1" customHeight="1" x14ac:dyDescent="0.15"/>
    <row r="416" ht="0" hidden="1" customHeight="1" x14ac:dyDescent="0.15"/>
    <row r="417" ht="0" hidden="1" customHeight="1" x14ac:dyDescent="0.15"/>
    <row r="418" ht="0" hidden="1" customHeight="1" x14ac:dyDescent="0.15"/>
    <row r="419" ht="0" hidden="1" customHeight="1" x14ac:dyDescent="0.15"/>
    <row r="420" ht="0" hidden="1" customHeight="1" x14ac:dyDescent="0.15"/>
    <row r="421" ht="0" hidden="1" customHeight="1" x14ac:dyDescent="0.15"/>
    <row r="422" ht="0" hidden="1" customHeight="1" x14ac:dyDescent="0.15"/>
    <row r="423" ht="0" hidden="1" customHeight="1" x14ac:dyDescent="0.15"/>
    <row r="424" ht="0" hidden="1" customHeight="1" x14ac:dyDescent="0.15"/>
    <row r="425" ht="0" hidden="1" customHeight="1" x14ac:dyDescent="0.15"/>
    <row r="426" ht="0" hidden="1" customHeight="1" x14ac:dyDescent="0.15"/>
    <row r="427" ht="0" hidden="1" customHeight="1" x14ac:dyDescent="0.15"/>
    <row r="428" ht="0" hidden="1" customHeight="1" x14ac:dyDescent="0.15"/>
    <row r="429" ht="0" hidden="1" customHeight="1" x14ac:dyDescent="0.15"/>
    <row r="430" ht="0" hidden="1" customHeight="1" x14ac:dyDescent="0.15"/>
    <row r="431" ht="0" hidden="1" customHeight="1" x14ac:dyDescent="0.15"/>
    <row r="432" ht="0" hidden="1" customHeight="1" x14ac:dyDescent="0.15"/>
    <row r="433" ht="0" hidden="1" customHeight="1" x14ac:dyDescent="0.15"/>
    <row r="434" ht="0" hidden="1" customHeight="1" x14ac:dyDescent="0.15"/>
    <row r="435" ht="0" hidden="1" customHeight="1" x14ac:dyDescent="0.15"/>
    <row r="436" ht="0" hidden="1" customHeight="1" x14ac:dyDescent="0.15"/>
    <row r="437" ht="0" hidden="1" customHeight="1" x14ac:dyDescent="0.15"/>
    <row r="438" ht="0" hidden="1" customHeight="1" x14ac:dyDescent="0.15"/>
    <row r="439" ht="0" hidden="1" customHeight="1" x14ac:dyDescent="0.15"/>
    <row r="440" ht="0" hidden="1" customHeight="1" x14ac:dyDescent="0.15"/>
    <row r="441" ht="0" hidden="1" customHeight="1" x14ac:dyDescent="0.15"/>
    <row r="442" ht="0" hidden="1" customHeight="1" x14ac:dyDescent="0.15"/>
    <row r="443" ht="0" hidden="1" customHeight="1" x14ac:dyDescent="0.15"/>
    <row r="444" ht="0" hidden="1" customHeight="1" x14ac:dyDescent="0.15"/>
    <row r="445" ht="0" hidden="1" customHeight="1" x14ac:dyDescent="0.15"/>
    <row r="446" ht="0" hidden="1" customHeight="1" x14ac:dyDescent="0.15"/>
    <row r="447" ht="0" hidden="1" customHeight="1" x14ac:dyDescent="0.15"/>
    <row r="448" ht="0" hidden="1" customHeight="1" x14ac:dyDescent="0.15"/>
    <row r="449" ht="0" hidden="1" customHeight="1" x14ac:dyDescent="0.15"/>
    <row r="450" ht="0" hidden="1" customHeight="1" x14ac:dyDescent="0.15"/>
    <row r="451" ht="0" hidden="1" customHeight="1" x14ac:dyDescent="0.15"/>
    <row r="452" ht="0" hidden="1" customHeight="1" x14ac:dyDescent="0.15"/>
    <row r="453" ht="0" hidden="1" customHeight="1" x14ac:dyDescent="0.15"/>
    <row r="454" ht="0" hidden="1" customHeight="1" x14ac:dyDescent="0.15"/>
    <row r="455" ht="0" hidden="1" customHeight="1" x14ac:dyDescent="0.15"/>
    <row r="456" ht="0" hidden="1" customHeight="1" x14ac:dyDescent="0.15"/>
    <row r="457" ht="0" hidden="1" customHeight="1" x14ac:dyDescent="0.15"/>
    <row r="458" ht="0" hidden="1" customHeight="1" x14ac:dyDescent="0.15"/>
    <row r="459" ht="0" hidden="1" customHeight="1" x14ac:dyDescent="0.15"/>
    <row r="460" ht="0" hidden="1" customHeight="1" x14ac:dyDescent="0.15"/>
    <row r="461" ht="0" hidden="1" customHeight="1" x14ac:dyDescent="0.15"/>
    <row r="462" ht="0" hidden="1" customHeight="1" x14ac:dyDescent="0.15"/>
    <row r="463" ht="0" hidden="1" customHeight="1" x14ac:dyDescent="0.15"/>
    <row r="464" ht="0" hidden="1" customHeight="1" x14ac:dyDescent="0.15"/>
    <row r="465" ht="0" hidden="1" customHeight="1" x14ac:dyDescent="0.15"/>
    <row r="466" ht="0" hidden="1" customHeight="1" x14ac:dyDescent="0.15"/>
    <row r="467" ht="0" hidden="1" customHeight="1" x14ac:dyDescent="0.15"/>
    <row r="468" ht="0" hidden="1" customHeight="1" x14ac:dyDescent="0.15"/>
    <row r="469" ht="0" hidden="1" customHeight="1" x14ac:dyDescent="0.15"/>
    <row r="470" ht="0" hidden="1" customHeight="1" x14ac:dyDescent="0.15"/>
    <row r="471" ht="0" hidden="1" customHeight="1" x14ac:dyDescent="0.15"/>
    <row r="472" ht="0" hidden="1" customHeight="1" x14ac:dyDescent="0.15"/>
    <row r="473" ht="0" hidden="1" customHeight="1" x14ac:dyDescent="0.15"/>
    <row r="474" ht="0" hidden="1" customHeight="1" x14ac:dyDescent="0.15"/>
    <row r="475" ht="0" hidden="1" customHeight="1" x14ac:dyDescent="0.15"/>
    <row r="476" ht="0" hidden="1" customHeight="1" x14ac:dyDescent="0.15"/>
    <row r="477" ht="0" hidden="1" customHeight="1" x14ac:dyDescent="0.15"/>
    <row r="478" ht="0" hidden="1" customHeight="1" x14ac:dyDescent="0.15"/>
    <row r="479" ht="0" hidden="1" customHeight="1" x14ac:dyDescent="0.15"/>
    <row r="480" ht="0" hidden="1" customHeight="1" x14ac:dyDescent="0.15"/>
    <row r="481" ht="0" hidden="1" customHeight="1" x14ac:dyDescent="0.15"/>
    <row r="482" ht="0" hidden="1" customHeight="1" x14ac:dyDescent="0.15"/>
    <row r="483" ht="0" hidden="1" customHeight="1" x14ac:dyDescent="0.15"/>
    <row r="484" ht="0" hidden="1" customHeight="1" x14ac:dyDescent="0.15"/>
    <row r="485" ht="0" hidden="1" customHeight="1" x14ac:dyDescent="0.15"/>
    <row r="486" ht="0" hidden="1" customHeight="1" x14ac:dyDescent="0.15"/>
    <row r="487" ht="0" hidden="1" customHeight="1" x14ac:dyDescent="0.15"/>
    <row r="488" ht="0" hidden="1" customHeight="1" x14ac:dyDescent="0.15"/>
    <row r="489" ht="0" hidden="1" customHeight="1" x14ac:dyDescent="0.15"/>
    <row r="490" ht="0" hidden="1" customHeight="1" x14ac:dyDescent="0.15"/>
    <row r="491" ht="0" hidden="1" customHeight="1" x14ac:dyDescent="0.15"/>
    <row r="492" ht="0" hidden="1" customHeight="1" x14ac:dyDescent="0.15"/>
    <row r="493" ht="0" hidden="1" customHeight="1" x14ac:dyDescent="0.15"/>
    <row r="494" ht="0" hidden="1" customHeight="1" x14ac:dyDescent="0.15"/>
    <row r="495" ht="0" hidden="1" customHeight="1" x14ac:dyDescent="0.15"/>
    <row r="496" ht="0" hidden="1" customHeight="1" x14ac:dyDescent="0.15"/>
    <row r="497" ht="0" hidden="1" customHeight="1" x14ac:dyDescent="0.15"/>
    <row r="498" ht="0" hidden="1" customHeight="1" x14ac:dyDescent="0.15"/>
    <row r="499" ht="0" hidden="1" customHeight="1" x14ac:dyDescent="0.15"/>
    <row r="500" ht="0" hidden="1" customHeight="1" x14ac:dyDescent="0.15"/>
    <row r="501" ht="0" hidden="1" customHeight="1" x14ac:dyDescent="0.15"/>
    <row r="502" ht="0" hidden="1" customHeight="1" x14ac:dyDescent="0.15"/>
    <row r="503" ht="0" hidden="1" customHeight="1" x14ac:dyDescent="0.15"/>
    <row r="504" ht="0" hidden="1" customHeight="1" x14ac:dyDescent="0.15"/>
    <row r="505" ht="0" hidden="1" customHeight="1" x14ac:dyDescent="0.15"/>
    <row r="506" ht="0" hidden="1" customHeight="1" x14ac:dyDescent="0.15"/>
    <row r="507" ht="0" hidden="1" customHeight="1" x14ac:dyDescent="0.15"/>
    <row r="508" ht="0" hidden="1" customHeight="1" x14ac:dyDescent="0.15"/>
    <row r="509" ht="0" hidden="1" customHeight="1" x14ac:dyDescent="0.15"/>
    <row r="510" ht="0" hidden="1" customHeight="1" x14ac:dyDescent="0.15"/>
    <row r="511" ht="0" hidden="1" customHeight="1" x14ac:dyDescent="0.15"/>
    <row r="512" ht="0" hidden="1" customHeight="1" x14ac:dyDescent="0.15"/>
    <row r="513" ht="0" hidden="1" customHeight="1" x14ac:dyDescent="0.15"/>
    <row r="514" ht="0" hidden="1" customHeight="1" x14ac:dyDescent="0.15"/>
    <row r="515" ht="0" hidden="1" customHeight="1" x14ac:dyDescent="0.15"/>
    <row r="516" ht="0" hidden="1" customHeight="1" x14ac:dyDescent="0.15"/>
    <row r="517" ht="0" hidden="1" customHeight="1" x14ac:dyDescent="0.15"/>
    <row r="518" ht="0" hidden="1" customHeight="1" x14ac:dyDescent="0.15"/>
    <row r="519" ht="0" hidden="1" customHeight="1" x14ac:dyDescent="0.15"/>
    <row r="520" ht="0" hidden="1" customHeight="1" x14ac:dyDescent="0.15"/>
    <row r="521" ht="0" hidden="1" customHeight="1" x14ac:dyDescent="0.15"/>
    <row r="522" ht="0" hidden="1" customHeight="1" x14ac:dyDescent="0.15"/>
    <row r="523" ht="0" hidden="1" customHeight="1" x14ac:dyDescent="0.15"/>
    <row r="524" ht="0" hidden="1" customHeight="1" x14ac:dyDescent="0.15"/>
    <row r="525" ht="0" hidden="1" customHeight="1" x14ac:dyDescent="0.15"/>
    <row r="526" ht="0" hidden="1" customHeight="1" x14ac:dyDescent="0.15"/>
    <row r="527" ht="0" hidden="1" customHeight="1" x14ac:dyDescent="0.15"/>
    <row r="528" ht="0" hidden="1" customHeight="1" x14ac:dyDescent="0.15"/>
    <row r="529" ht="0" hidden="1" customHeight="1" x14ac:dyDescent="0.15"/>
    <row r="530" ht="0" hidden="1" customHeight="1" x14ac:dyDescent="0.15"/>
    <row r="531" ht="0" hidden="1" customHeight="1" x14ac:dyDescent="0.15"/>
    <row r="532" ht="0" hidden="1" customHeight="1" x14ac:dyDescent="0.15"/>
    <row r="533" ht="0" hidden="1" customHeight="1" x14ac:dyDescent="0.15"/>
    <row r="534" ht="0" hidden="1" customHeight="1" x14ac:dyDescent="0.15"/>
    <row r="535" ht="0" hidden="1" customHeight="1" x14ac:dyDescent="0.15"/>
    <row r="536" ht="0" hidden="1" customHeight="1" x14ac:dyDescent="0.15"/>
    <row r="537" ht="0" hidden="1" customHeight="1" x14ac:dyDescent="0.15"/>
    <row r="538" ht="0" hidden="1" customHeight="1" x14ac:dyDescent="0.15"/>
    <row r="539" ht="0" hidden="1" customHeight="1" x14ac:dyDescent="0.15"/>
    <row r="540" ht="0" hidden="1" customHeight="1" x14ac:dyDescent="0.15"/>
    <row r="541" ht="0" hidden="1" customHeight="1" x14ac:dyDescent="0.15"/>
    <row r="542" ht="0" hidden="1" customHeight="1" x14ac:dyDescent="0.15"/>
    <row r="543" ht="0" hidden="1" customHeight="1" x14ac:dyDescent="0.15"/>
    <row r="544" ht="0" hidden="1" customHeight="1" x14ac:dyDescent="0.15"/>
    <row r="545" ht="0" hidden="1" customHeight="1" x14ac:dyDescent="0.15"/>
    <row r="546" ht="0" hidden="1" customHeight="1" x14ac:dyDescent="0.15"/>
    <row r="547" ht="0" hidden="1" customHeight="1" x14ac:dyDescent="0.15"/>
    <row r="548" ht="0" hidden="1" customHeight="1" x14ac:dyDescent="0.15"/>
    <row r="549" ht="0" hidden="1" customHeight="1" x14ac:dyDescent="0.15"/>
    <row r="550" ht="0" hidden="1" customHeight="1" x14ac:dyDescent="0.15"/>
    <row r="551" ht="0" hidden="1" customHeight="1" x14ac:dyDescent="0.15"/>
    <row r="552" ht="0" hidden="1" customHeight="1" x14ac:dyDescent="0.15"/>
    <row r="553" ht="0" hidden="1" customHeight="1" x14ac:dyDescent="0.15"/>
    <row r="554" ht="0" hidden="1" customHeight="1" x14ac:dyDescent="0.15"/>
    <row r="555" ht="0" hidden="1" customHeight="1" x14ac:dyDescent="0.15"/>
    <row r="556" ht="0" hidden="1" customHeight="1" x14ac:dyDescent="0.15"/>
    <row r="557" ht="0" hidden="1" customHeight="1" x14ac:dyDescent="0.15"/>
    <row r="558" ht="0" hidden="1" customHeight="1" x14ac:dyDescent="0.15"/>
    <row r="559" ht="0" hidden="1" customHeight="1" x14ac:dyDescent="0.15"/>
    <row r="560" ht="0" hidden="1" customHeight="1" x14ac:dyDescent="0.15"/>
    <row r="561" ht="0" hidden="1" customHeight="1" x14ac:dyDescent="0.15"/>
    <row r="562" ht="0" hidden="1" customHeight="1" x14ac:dyDescent="0.15"/>
    <row r="563" ht="0" hidden="1" customHeight="1" x14ac:dyDescent="0.15"/>
    <row r="564" ht="0" hidden="1" customHeight="1" x14ac:dyDescent="0.15"/>
    <row r="565" ht="0" hidden="1" customHeight="1" x14ac:dyDescent="0.15"/>
    <row r="566" ht="0" hidden="1" customHeight="1" x14ac:dyDescent="0.15"/>
    <row r="567" ht="0" hidden="1" customHeight="1" x14ac:dyDescent="0.15"/>
    <row r="568" ht="0" hidden="1" customHeight="1" x14ac:dyDescent="0.15"/>
    <row r="569" ht="0" hidden="1" customHeight="1" x14ac:dyDescent="0.15"/>
    <row r="570" ht="0" hidden="1" customHeight="1" x14ac:dyDescent="0.15"/>
    <row r="571" ht="0" hidden="1" customHeight="1" x14ac:dyDescent="0.15"/>
    <row r="572" ht="0" hidden="1" customHeight="1" x14ac:dyDescent="0.15"/>
    <row r="573" ht="0" hidden="1" customHeight="1" x14ac:dyDescent="0.15"/>
    <row r="574" ht="0" hidden="1" customHeight="1" x14ac:dyDescent="0.15"/>
    <row r="575" ht="0" hidden="1" customHeight="1" x14ac:dyDescent="0.15"/>
    <row r="576" ht="0" hidden="1" customHeight="1" x14ac:dyDescent="0.15"/>
    <row r="577" ht="0" hidden="1" customHeight="1" x14ac:dyDescent="0.15"/>
    <row r="578" ht="0" hidden="1" customHeight="1" x14ac:dyDescent="0.15"/>
    <row r="579" ht="0" hidden="1" customHeight="1" x14ac:dyDescent="0.15"/>
    <row r="580" ht="0" hidden="1" customHeight="1" x14ac:dyDescent="0.15"/>
    <row r="581" ht="0" hidden="1" customHeight="1" x14ac:dyDescent="0.15"/>
    <row r="582" ht="0" hidden="1" customHeight="1" x14ac:dyDescent="0.15"/>
    <row r="583" ht="0" hidden="1" customHeight="1" x14ac:dyDescent="0.15"/>
    <row r="584" ht="0" hidden="1" customHeight="1" x14ac:dyDescent="0.15"/>
    <row r="585" ht="0" hidden="1" customHeight="1" x14ac:dyDescent="0.15"/>
    <row r="586" ht="0" hidden="1" customHeight="1" x14ac:dyDescent="0.15"/>
    <row r="587" ht="0" hidden="1" customHeight="1" x14ac:dyDescent="0.15"/>
    <row r="588" ht="0" hidden="1" customHeight="1" x14ac:dyDescent="0.15"/>
    <row r="589" ht="0" hidden="1" customHeight="1" x14ac:dyDescent="0.15"/>
    <row r="590" ht="0" hidden="1" customHeight="1" x14ac:dyDescent="0.15"/>
    <row r="591" ht="0" hidden="1" customHeight="1" x14ac:dyDescent="0.15"/>
    <row r="592" ht="0" hidden="1" customHeight="1" x14ac:dyDescent="0.15"/>
    <row r="593" ht="0" hidden="1" customHeight="1" x14ac:dyDescent="0.15"/>
    <row r="594" ht="0" hidden="1" customHeight="1" x14ac:dyDescent="0.15"/>
    <row r="595" ht="0" hidden="1" customHeight="1" x14ac:dyDescent="0.15"/>
    <row r="596" ht="0" hidden="1" customHeight="1" x14ac:dyDescent="0.15"/>
    <row r="597" ht="0" hidden="1" customHeight="1" x14ac:dyDescent="0.15"/>
    <row r="598" ht="0" hidden="1" customHeight="1" x14ac:dyDescent="0.15"/>
    <row r="599" ht="0" hidden="1" customHeight="1" x14ac:dyDescent="0.15"/>
    <row r="600" ht="0" hidden="1" customHeight="1" x14ac:dyDescent="0.15"/>
    <row r="601" ht="0" hidden="1" customHeight="1" x14ac:dyDescent="0.15"/>
    <row r="602" ht="0" hidden="1" customHeight="1" x14ac:dyDescent="0.15"/>
    <row r="603" ht="0" hidden="1" customHeight="1" x14ac:dyDescent="0.15"/>
    <row r="604" ht="0" hidden="1" customHeight="1" x14ac:dyDescent="0.15"/>
    <row r="605" ht="0" hidden="1" customHeight="1" x14ac:dyDescent="0.15"/>
    <row r="606" ht="0" hidden="1" customHeight="1" x14ac:dyDescent="0.15"/>
    <row r="607" ht="0" hidden="1" customHeight="1" x14ac:dyDescent="0.15"/>
    <row r="608" ht="0" hidden="1" customHeight="1" x14ac:dyDescent="0.15"/>
    <row r="609" ht="0" hidden="1" customHeight="1" x14ac:dyDescent="0.15"/>
    <row r="610" ht="0" hidden="1" customHeight="1" x14ac:dyDescent="0.15"/>
    <row r="611" ht="0" hidden="1" customHeight="1" x14ac:dyDescent="0.15"/>
    <row r="612" ht="0" hidden="1" customHeight="1" x14ac:dyDescent="0.15"/>
    <row r="613" ht="0" hidden="1" customHeight="1" x14ac:dyDescent="0.15"/>
    <row r="614" ht="0" hidden="1" customHeight="1" x14ac:dyDescent="0.15"/>
    <row r="615" ht="0" hidden="1" customHeight="1" x14ac:dyDescent="0.15"/>
    <row r="616" ht="0" hidden="1" customHeight="1" x14ac:dyDescent="0.15"/>
    <row r="617" ht="0" hidden="1" customHeight="1" x14ac:dyDescent="0.15"/>
    <row r="618" ht="0" hidden="1" customHeight="1" x14ac:dyDescent="0.15"/>
    <row r="619" ht="0" hidden="1" customHeight="1" x14ac:dyDescent="0.15"/>
    <row r="620" ht="0" hidden="1" customHeight="1" x14ac:dyDescent="0.15"/>
    <row r="621" ht="0" hidden="1" customHeight="1" x14ac:dyDescent="0.15"/>
    <row r="622" ht="0" hidden="1" customHeight="1" x14ac:dyDescent="0.15"/>
    <row r="623" ht="0" hidden="1" customHeight="1" x14ac:dyDescent="0.15"/>
    <row r="624" ht="0" hidden="1" customHeight="1" x14ac:dyDescent="0.15"/>
    <row r="625" ht="0" hidden="1" customHeight="1" x14ac:dyDescent="0.15"/>
    <row r="626" ht="0" hidden="1" customHeight="1" x14ac:dyDescent="0.15"/>
    <row r="627" ht="0" hidden="1" customHeight="1" x14ac:dyDescent="0.15"/>
    <row r="628" ht="0" hidden="1" customHeight="1" x14ac:dyDescent="0.15"/>
    <row r="629" ht="0" hidden="1" customHeight="1" x14ac:dyDescent="0.15"/>
    <row r="630" ht="0" hidden="1" customHeight="1" x14ac:dyDescent="0.15"/>
    <row r="631" ht="0" hidden="1" customHeight="1" x14ac:dyDescent="0.15"/>
    <row r="632" ht="0" hidden="1" customHeight="1" x14ac:dyDescent="0.15"/>
    <row r="633" ht="0" hidden="1" customHeight="1" x14ac:dyDescent="0.15"/>
    <row r="634" ht="0" hidden="1" customHeight="1" x14ac:dyDescent="0.15"/>
    <row r="635" ht="0" hidden="1" customHeight="1" x14ac:dyDescent="0.15"/>
    <row r="636" ht="0" hidden="1" customHeight="1" x14ac:dyDescent="0.15"/>
    <row r="637" ht="0" hidden="1" customHeight="1" x14ac:dyDescent="0.15"/>
    <row r="638" ht="0" hidden="1" customHeight="1" x14ac:dyDescent="0.15"/>
    <row r="639" ht="0" hidden="1" customHeight="1" x14ac:dyDescent="0.15"/>
    <row r="640" ht="0" hidden="1" customHeight="1" x14ac:dyDescent="0.15"/>
    <row r="641" ht="0" hidden="1" customHeight="1" x14ac:dyDescent="0.15"/>
    <row r="642" ht="0" hidden="1" customHeight="1" x14ac:dyDescent="0.15"/>
    <row r="643" ht="0" hidden="1" customHeight="1" x14ac:dyDescent="0.15"/>
    <row r="644" ht="0" hidden="1" customHeight="1" x14ac:dyDescent="0.15"/>
    <row r="645" ht="0" hidden="1" customHeight="1" x14ac:dyDescent="0.15"/>
    <row r="646" ht="0" hidden="1" customHeight="1" x14ac:dyDescent="0.15"/>
    <row r="647" ht="0" hidden="1" customHeight="1" x14ac:dyDescent="0.15"/>
    <row r="648" ht="0" hidden="1" customHeight="1" x14ac:dyDescent="0.15"/>
    <row r="649" ht="0" hidden="1" customHeight="1" x14ac:dyDescent="0.15"/>
    <row r="650" ht="0" hidden="1" customHeight="1" x14ac:dyDescent="0.15"/>
    <row r="651" ht="0" hidden="1" customHeight="1" x14ac:dyDescent="0.15"/>
    <row r="652" ht="0" hidden="1" customHeight="1" x14ac:dyDescent="0.15"/>
    <row r="653" ht="0" hidden="1" customHeight="1" x14ac:dyDescent="0.15"/>
    <row r="654" ht="0" hidden="1" customHeight="1" x14ac:dyDescent="0.15"/>
    <row r="655" ht="0" hidden="1" customHeight="1" x14ac:dyDescent="0.15"/>
    <row r="656" ht="0" hidden="1" customHeight="1" x14ac:dyDescent="0.15"/>
    <row r="657" ht="0" hidden="1" customHeight="1" x14ac:dyDescent="0.15"/>
    <row r="658" ht="0" hidden="1" customHeight="1" x14ac:dyDescent="0.15"/>
    <row r="659" ht="0" hidden="1" customHeight="1" x14ac:dyDescent="0.15"/>
    <row r="660" ht="0" hidden="1" customHeight="1" x14ac:dyDescent="0.15"/>
    <row r="661" ht="0" hidden="1" customHeight="1" x14ac:dyDescent="0.15"/>
    <row r="662" ht="0" hidden="1" customHeight="1" x14ac:dyDescent="0.15"/>
    <row r="663" ht="0" hidden="1" customHeight="1" x14ac:dyDescent="0.15"/>
    <row r="664" ht="0" hidden="1" customHeight="1" x14ac:dyDescent="0.15"/>
    <row r="665" ht="0" hidden="1" customHeight="1" x14ac:dyDescent="0.15"/>
    <row r="666" ht="0" hidden="1" customHeight="1" x14ac:dyDescent="0.15"/>
    <row r="667" ht="0" hidden="1" customHeight="1" x14ac:dyDescent="0.15"/>
    <row r="668" ht="0" hidden="1" customHeight="1" x14ac:dyDescent="0.15"/>
    <row r="669" ht="0" hidden="1" customHeight="1" x14ac:dyDescent="0.15"/>
    <row r="670" ht="0" hidden="1" customHeight="1" x14ac:dyDescent="0.15"/>
    <row r="671" ht="0" hidden="1" customHeight="1" x14ac:dyDescent="0.15"/>
    <row r="672" ht="0" hidden="1" customHeight="1" x14ac:dyDescent="0.15"/>
    <row r="673" ht="0" hidden="1" customHeight="1" x14ac:dyDescent="0.15"/>
    <row r="674" ht="0" hidden="1" customHeight="1" x14ac:dyDescent="0.15"/>
    <row r="675" ht="0" hidden="1" customHeight="1" x14ac:dyDescent="0.15"/>
    <row r="676" ht="0" hidden="1" customHeight="1" x14ac:dyDescent="0.15"/>
    <row r="677" ht="0" hidden="1" customHeight="1" x14ac:dyDescent="0.15"/>
    <row r="678" ht="0" hidden="1" customHeight="1" x14ac:dyDescent="0.15"/>
    <row r="679" ht="0" hidden="1" customHeight="1" x14ac:dyDescent="0.15"/>
    <row r="680" ht="0" hidden="1" customHeight="1" x14ac:dyDescent="0.15"/>
    <row r="681" ht="0" hidden="1" customHeight="1" x14ac:dyDescent="0.15"/>
    <row r="682" ht="0" hidden="1" customHeight="1" x14ac:dyDescent="0.15"/>
    <row r="683" ht="0" hidden="1" customHeight="1" x14ac:dyDescent="0.15"/>
    <row r="684" ht="0" hidden="1" customHeight="1" x14ac:dyDescent="0.15"/>
    <row r="685" ht="0" hidden="1" customHeight="1" x14ac:dyDescent="0.15"/>
    <row r="686" ht="0" hidden="1" customHeight="1" x14ac:dyDescent="0.15"/>
    <row r="687" ht="0" hidden="1" customHeight="1" x14ac:dyDescent="0.15"/>
    <row r="688" ht="0" hidden="1" customHeight="1" x14ac:dyDescent="0.15"/>
    <row r="689" ht="0" hidden="1" customHeight="1" x14ac:dyDescent="0.15"/>
    <row r="690" ht="0" hidden="1" customHeight="1" x14ac:dyDescent="0.15"/>
    <row r="691" ht="0" hidden="1" customHeight="1" x14ac:dyDescent="0.15"/>
    <row r="692" ht="0" hidden="1" customHeight="1" x14ac:dyDescent="0.15"/>
    <row r="693" ht="0" hidden="1" customHeight="1" x14ac:dyDescent="0.15"/>
    <row r="694" ht="0" hidden="1" customHeight="1" x14ac:dyDescent="0.15"/>
    <row r="695" ht="0" hidden="1" customHeight="1" x14ac:dyDescent="0.15"/>
    <row r="696" ht="0" hidden="1" customHeight="1" x14ac:dyDescent="0.15"/>
    <row r="697" ht="0" hidden="1" customHeight="1" x14ac:dyDescent="0.15"/>
    <row r="698" ht="0" hidden="1" customHeight="1" x14ac:dyDescent="0.15"/>
    <row r="699" ht="0" hidden="1" customHeight="1" x14ac:dyDescent="0.15"/>
    <row r="700" ht="0" hidden="1" customHeight="1" x14ac:dyDescent="0.15"/>
    <row r="701" ht="0" hidden="1" customHeight="1" x14ac:dyDescent="0.15"/>
    <row r="702" ht="0" hidden="1" customHeight="1" x14ac:dyDescent="0.15"/>
    <row r="703" ht="0" hidden="1" customHeight="1" x14ac:dyDescent="0.15"/>
    <row r="704" ht="0" hidden="1" customHeight="1" x14ac:dyDescent="0.15"/>
    <row r="705" ht="0" hidden="1" customHeight="1" x14ac:dyDescent="0.15"/>
    <row r="706" ht="0" hidden="1" customHeight="1" x14ac:dyDescent="0.15"/>
    <row r="707" ht="0" hidden="1" customHeight="1" x14ac:dyDescent="0.15"/>
    <row r="708" ht="0" hidden="1" customHeight="1" x14ac:dyDescent="0.15"/>
    <row r="709" ht="0" hidden="1" customHeight="1" x14ac:dyDescent="0.15"/>
    <row r="710" ht="0" hidden="1" customHeight="1" x14ac:dyDescent="0.15"/>
    <row r="711" ht="0" hidden="1" customHeight="1" x14ac:dyDescent="0.15"/>
    <row r="712" ht="0" hidden="1" customHeight="1" x14ac:dyDescent="0.15"/>
    <row r="713" ht="0" hidden="1" customHeight="1" x14ac:dyDescent="0.15"/>
    <row r="714" ht="0" hidden="1" customHeight="1" x14ac:dyDescent="0.15"/>
    <row r="715" ht="0" hidden="1" customHeight="1" x14ac:dyDescent="0.15"/>
    <row r="716" ht="0" hidden="1" customHeight="1" x14ac:dyDescent="0.15"/>
    <row r="717" ht="0" hidden="1" customHeight="1" x14ac:dyDescent="0.15"/>
    <row r="718" ht="0" hidden="1" customHeight="1" x14ac:dyDescent="0.15"/>
    <row r="719" ht="0" hidden="1" customHeight="1" x14ac:dyDescent="0.15"/>
    <row r="720" ht="0" hidden="1" customHeight="1" x14ac:dyDescent="0.15"/>
    <row r="721" ht="0" hidden="1" customHeight="1" x14ac:dyDescent="0.15"/>
    <row r="722" ht="0" hidden="1" customHeight="1" x14ac:dyDescent="0.15"/>
    <row r="723" ht="0" hidden="1" customHeight="1" x14ac:dyDescent="0.15"/>
    <row r="724" ht="0" hidden="1" customHeight="1" x14ac:dyDescent="0.15"/>
    <row r="725" ht="0" hidden="1" customHeight="1" x14ac:dyDescent="0.15"/>
    <row r="726" ht="0" hidden="1" customHeight="1" x14ac:dyDescent="0.15"/>
    <row r="727" ht="0" hidden="1" customHeight="1" x14ac:dyDescent="0.15"/>
    <row r="728" ht="0" hidden="1" customHeight="1" x14ac:dyDescent="0.15"/>
    <row r="729" ht="0" hidden="1" customHeight="1" x14ac:dyDescent="0.15"/>
    <row r="730" ht="0" hidden="1" customHeight="1" x14ac:dyDescent="0.15"/>
    <row r="731" ht="0" hidden="1" customHeight="1" x14ac:dyDescent="0.15"/>
    <row r="732" ht="0" hidden="1" customHeight="1" x14ac:dyDescent="0.15"/>
    <row r="733" ht="0" hidden="1" customHeight="1" x14ac:dyDescent="0.15"/>
    <row r="734" ht="0" hidden="1" customHeight="1" x14ac:dyDescent="0.15"/>
    <row r="735" ht="0" hidden="1" customHeight="1" x14ac:dyDescent="0.15"/>
    <row r="736" ht="0" hidden="1" customHeight="1" x14ac:dyDescent="0.15"/>
    <row r="737" ht="0" hidden="1" customHeight="1" x14ac:dyDescent="0.15"/>
    <row r="738" ht="0" hidden="1" customHeight="1" x14ac:dyDescent="0.15"/>
    <row r="739" ht="0" hidden="1" customHeight="1" x14ac:dyDescent="0.15"/>
    <row r="740" ht="0" hidden="1" customHeight="1" x14ac:dyDescent="0.15"/>
    <row r="741" ht="0" hidden="1" customHeight="1" x14ac:dyDescent="0.15"/>
    <row r="742" ht="0" hidden="1" customHeight="1" x14ac:dyDescent="0.15"/>
    <row r="743" ht="0" hidden="1" customHeight="1" x14ac:dyDescent="0.15"/>
    <row r="744" ht="0" hidden="1" customHeight="1" x14ac:dyDescent="0.15"/>
    <row r="745" ht="0" hidden="1" customHeight="1" x14ac:dyDescent="0.15"/>
    <row r="746" ht="0" hidden="1" customHeight="1" x14ac:dyDescent="0.15"/>
    <row r="747" ht="0" hidden="1" customHeight="1" x14ac:dyDescent="0.15"/>
    <row r="748" ht="0" hidden="1" customHeight="1" x14ac:dyDescent="0.15"/>
    <row r="749" ht="0" hidden="1" customHeight="1" x14ac:dyDescent="0.15"/>
    <row r="750" ht="0" hidden="1" customHeight="1" x14ac:dyDescent="0.15"/>
    <row r="751" ht="0" hidden="1" customHeight="1" x14ac:dyDescent="0.15"/>
    <row r="752" ht="0" hidden="1" customHeight="1" x14ac:dyDescent="0.15"/>
    <row r="753" ht="0" hidden="1" customHeight="1" x14ac:dyDescent="0.15"/>
    <row r="754" ht="0" hidden="1" customHeight="1" x14ac:dyDescent="0.15"/>
    <row r="755" ht="0" hidden="1" customHeight="1" x14ac:dyDescent="0.15"/>
    <row r="756" ht="0" hidden="1" customHeight="1" x14ac:dyDescent="0.15"/>
    <row r="757" ht="0" hidden="1" customHeight="1" x14ac:dyDescent="0.15"/>
    <row r="758" ht="0" hidden="1" customHeight="1" x14ac:dyDescent="0.15"/>
    <row r="759" ht="0" hidden="1" customHeight="1" x14ac:dyDescent="0.15"/>
    <row r="760" ht="0" hidden="1" customHeight="1" x14ac:dyDescent="0.15"/>
    <row r="761" ht="0" hidden="1" customHeight="1" x14ac:dyDescent="0.15"/>
    <row r="762" ht="0" hidden="1" customHeight="1" x14ac:dyDescent="0.15"/>
    <row r="763" ht="0" hidden="1" customHeight="1" x14ac:dyDescent="0.15"/>
    <row r="764" ht="0" hidden="1" customHeight="1" x14ac:dyDescent="0.15"/>
    <row r="765" ht="0" hidden="1" customHeight="1" x14ac:dyDescent="0.15"/>
    <row r="766" ht="0" hidden="1" customHeight="1" x14ac:dyDescent="0.15"/>
    <row r="767" ht="0" hidden="1" customHeight="1" x14ac:dyDescent="0.15"/>
    <row r="768" ht="0" hidden="1" customHeight="1" x14ac:dyDescent="0.15"/>
    <row r="769" ht="0" hidden="1" customHeight="1" x14ac:dyDescent="0.15"/>
    <row r="770" ht="0" hidden="1" customHeight="1" x14ac:dyDescent="0.15"/>
    <row r="771" ht="0" hidden="1" customHeight="1" x14ac:dyDescent="0.15"/>
    <row r="772" ht="0" hidden="1" customHeight="1" x14ac:dyDescent="0.15"/>
    <row r="773" ht="0" hidden="1" customHeight="1" x14ac:dyDescent="0.15"/>
    <row r="774" ht="0" hidden="1" customHeight="1" x14ac:dyDescent="0.15"/>
    <row r="775" ht="0" hidden="1" customHeight="1" x14ac:dyDescent="0.15"/>
    <row r="776" ht="0" hidden="1" customHeight="1" x14ac:dyDescent="0.15"/>
    <row r="777" ht="0" hidden="1" customHeight="1" x14ac:dyDescent="0.15"/>
    <row r="778" ht="0" hidden="1" customHeight="1" x14ac:dyDescent="0.15"/>
    <row r="779" ht="0" hidden="1" customHeight="1" x14ac:dyDescent="0.15"/>
    <row r="780" ht="0" hidden="1" customHeight="1" x14ac:dyDescent="0.15"/>
    <row r="781" ht="0" hidden="1" customHeight="1" x14ac:dyDescent="0.15"/>
    <row r="782" ht="0" hidden="1" customHeight="1" x14ac:dyDescent="0.15"/>
    <row r="783" ht="0" hidden="1" customHeight="1" x14ac:dyDescent="0.15"/>
    <row r="784" ht="0" hidden="1" customHeight="1" x14ac:dyDescent="0.15"/>
    <row r="785" ht="0" hidden="1" customHeight="1" x14ac:dyDescent="0.15"/>
    <row r="786" ht="0" hidden="1" customHeight="1" x14ac:dyDescent="0.15"/>
    <row r="787" ht="0" hidden="1" customHeight="1" x14ac:dyDescent="0.15"/>
    <row r="788" ht="0" hidden="1" customHeight="1" x14ac:dyDescent="0.15"/>
    <row r="789" ht="0" hidden="1" customHeight="1" x14ac:dyDescent="0.15"/>
    <row r="790" ht="0" hidden="1" customHeight="1" x14ac:dyDescent="0.15"/>
    <row r="791" ht="0" hidden="1" customHeight="1" x14ac:dyDescent="0.15"/>
    <row r="792" ht="0" hidden="1" customHeight="1" x14ac:dyDescent="0.15"/>
    <row r="793" ht="0" hidden="1" customHeight="1" x14ac:dyDescent="0.15"/>
    <row r="794" ht="0" hidden="1" customHeight="1" x14ac:dyDescent="0.15"/>
    <row r="795" ht="0" hidden="1" customHeight="1" x14ac:dyDescent="0.15"/>
    <row r="796" ht="0" hidden="1" customHeight="1" x14ac:dyDescent="0.15"/>
    <row r="797" ht="0" hidden="1" customHeight="1" x14ac:dyDescent="0.15"/>
    <row r="798" ht="0" hidden="1" customHeight="1" x14ac:dyDescent="0.15"/>
    <row r="799" ht="0" hidden="1" customHeight="1" x14ac:dyDescent="0.15"/>
    <row r="800" ht="0" hidden="1" customHeight="1" x14ac:dyDescent="0.15"/>
    <row r="801" ht="0" hidden="1" customHeight="1" x14ac:dyDescent="0.15"/>
    <row r="802" ht="0" hidden="1" customHeight="1" x14ac:dyDescent="0.15"/>
    <row r="803" ht="0" hidden="1" customHeight="1" x14ac:dyDescent="0.15"/>
    <row r="804" ht="0" hidden="1" customHeight="1" x14ac:dyDescent="0.15"/>
    <row r="805" ht="0" hidden="1" customHeight="1" x14ac:dyDescent="0.15"/>
    <row r="806" ht="0" hidden="1" customHeight="1" x14ac:dyDescent="0.15"/>
    <row r="807" ht="0" hidden="1" customHeight="1" x14ac:dyDescent="0.15"/>
    <row r="808" ht="0" hidden="1" customHeight="1" x14ac:dyDescent="0.15"/>
    <row r="809" ht="0" hidden="1" customHeight="1" x14ac:dyDescent="0.15"/>
    <row r="810" ht="0" hidden="1" customHeight="1" x14ac:dyDescent="0.15"/>
    <row r="811" ht="0" hidden="1" customHeight="1" x14ac:dyDescent="0.15"/>
    <row r="812" ht="0" hidden="1" customHeight="1" x14ac:dyDescent="0.15"/>
    <row r="813" ht="0" hidden="1" customHeight="1" x14ac:dyDescent="0.15"/>
    <row r="814" ht="0" hidden="1" customHeight="1" x14ac:dyDescent="0.15"/>
    <row r="815" ht="0" hidden="1" customHeight="1" x14ac:dyDescent="0.15"/>
    <row r="816" ht="0" hidden="1" customHeight="1" x14ac:dyDescent="0.15"/>
    <row r="817" ht="0" hidden="1" customHeight="1" x14ac:dyDescent="0.15"/>
    <row r="818" ht="0" hidden="1" customHeight="1" x14ac:dyDescent="0.15"/>
    <row r="819" ht="0" hidden="1" customHeight="1" x14ac:dyDescent="0.15"/>
    <row r="820" ht="0" hidden="1" customHeight="1" x14ac:dyDescent="0.15"/>
    <row r="821" ht="0" hidden="1" customHeight="1" x14ac:dyDescent="0.15"/>
    <row r="822" ht="0" hidden="1" customHeight="1" x14ac:dyDescent="0.15"/>
    <row r="823" ht="0" hidden="1" customHeight="1" x14ac:dyDescent="0.15"/>
    <row r="824" ht="0" hidden="1" customHeight="1" x14ac:dyDescent="0.15"/>
    <row r="825" ht="0" hidden="1" customHeight="1" x14ac:dyDescent="0.15"/>
    <row r="826" ht="0" hidden="1" customHeight="1" x14ac:dyDescent="0.15"/>
    <row r="827" ht="0" hidden="1" customHeight="1" x14ac:dyDescent="0.15"/>
    <row r="828" ht="0" hidden="1" customHeight="1" x14ac:dyDescent="0.15"/>
    <row r="829" ht="0" hidden="1" customHeight="1" x14ac:dyDescent="0.15"/>
    <row r="830" ht="0" hidden="1" customHeight="1" x14ac:dyDescent="0.15"/>
    <row r="831" ht="0" hidden="1" customHeight="1" x14ac:dyDescent="0.15"/>
    <row r="832" ht="0" hidden="1" customHeight="1" x14ac:dyDescent="0.15"/>
    <row r="833" ht="0" hidden="1" customHeight="1" x14ac:dyDescent="0.15"/>
    <row r="834" ht="0" hidden="1" customHeight="1" x14ac:dyDescent="0.15"/>
    <row r="835" ht="0" hidden="1" customHeight="1" x14ac:dyDescent="0.15"/>
    <row r="836" ht="0" hidden="1" customHeight="1" x14ac:dyDescent="0.15"/>
    <row r="837" ht="0" hidden="1" customHeight="1" x14ac:dyDescent="0.15"/>
    <row r="838" ht="0" hidden="1" customHeight="1" x14ac:dyDescent="0.15"/>
    <row r="839" ht="0" hidden="1" customHeight="1" x14ac:dyDescent="0.15"/>
    <row r="840" ht="0" hidden="1" customHeight="1" x14ac:dyDescent="0.15"/>
    <row r="841" ht="0" hidden="1" customHeight="1" x14ac:dyDescent="0.15"/>
    <row r="842" ht="0" hidden="1" customHeight="1" x14ac:dyDescent="0.15"/>
    <row r="843" ht="0" hidden="1" customHeight="1" x14ac:dyDescent="0.15"/>
    <row r="844" ht="0" hidden="1" customHeight="1" x14ac:dyDescent="0.15"/>
    <row r="845" ht="0" hidden="1" customHeight="1" x14ac:dyDescent="0.15"/>
    <row r="846" ht="0" hidden="1" customHeight="1" x14ac:dyDescent="0.15"/>
    <row r="847" ht="0" hidden="1" customHeight="1" x14ac:dyDescent="0.15"/>
    <row r="848" ht="0" hidden="1" customHeight="1" x14ac:dyDescent="0.15"/>
    <row r="849" ht="0" hidden="1" customHeight="1" x14ac:dyDescent="0.15"/>
    <row r="850" ht="0" hidden="1" customHeight="1" x14ac:dyDescent="0.15"/>
    <row r="851" ht="0" hidden="1" customHeight="1" x14ac:dyDescent="0.15"/>
    <row r="852" ht="0" hidden="1" customHeight="1" x14ac:dyDescent="0.15"/>
    <row r="853" ht="0" hidden="1" customHeight="1" x14ac:dyDescent="0.15"/>
    <row r="854" ht="0" hidden="1" customHeight="1" x14ac:dyDescent="0.15"/>
    <row r="855" ht="0" hidden="1" customHeight="1" x14ac:dyDescent="0.15"/>
    <row r="856" ht="0" hidden="1" customHeight="1" x14ac:dyDescent="0.15"/>
    <row r="857" ht="0" hidden="1" customHeight="1" x14ac:dyDescent="0.15"/>
    <row r="858" ht="0" hidden="1" customHeight="1" x14ac:dyDescent="0.15"/>
    <row r="859" ht="0" hidden="1" customHeight="1" x14ac:dyDescent="0.15"/>
    <row r="860" ht="0" hidden="1" customHeight="1" x14ac:dyDescent="0.15"/>
    <row r="861" ht="0" hidden="1" customHeight="1" x14ac:dyDescent="0.15"/>
    <row r="862" ht="0" hidden="1" customHeight="1" x14ac:dyDescent="0.15"/>
    <row r="863" ht="0" hidden="1" customHeight="1" x14ac:dyDescent="0.15"/>
    <row r="864" ht="0" hidden="1" customHeight="1" x14ac:dyDescent="0.15"/>
    <row r="865" ht="0" hidden="1" customHeight="1" x14ac:dyDescent="0.15"/>
    <row r="866" ht="0" hidden="1" customHeight="1" x14ac:dyDescent="0.15"/>
    <row r="867" ht="0" hidden="1" customHeight="1" x14ac:dyDescent="0.15"/>
    <row r="868" ht="0" hidden="1" customHeight="1" x14ac:dyDescent="0.15"/>
    <row r="869" ht="0" hidden="1" customHeight="1" x14ac:dyDescent="0.15"/>
    <row r="870" ht="0" hidden="1" customHeight="1" x14ac:dyDescent="0.15"/>
    <row r="871" ht="0" hidden="1" customHeight="1" x14ac:dyDescent="0.15"/>
    <row r="872" ht="0" hidden="1" customHeight="1" x14ac:dyDescent="0.15"/>
    <row r="873" ht="0" hidden="1" customHeight="1" x14ac:dyDescent="0.15"/>
    <row r="874" ht="0" hidden="1" customHeight="1" x14ac:dyDescent="0.15"/>
    <row r="875" ht="0" hidden="1" customHeight="1" x14ac:dyDescent="0.15"/>
    <row r="876" ht="0" hidden="1" customHeight="1" x14ac:dyDescent="0.15"/>
    <row r="877" ht="0" hidden="1" customHeight="1" x14ac:dyDescent="0.15"/>
    <row r="878" ht="0" hidden="1" customHeight="1" x14ac:dyDescent="0.15"/>
    <row r="879" ht="0" hidden="1" customHeight="1" x14ac:dyDescent="0.15"/>
    <row r="880" ht="0" hidden="1" customHeight="1" x14ac:dyDescent="0.15"/>
    <row r="881" ht="0" hidden="1" customHeight="1" x14ac:dyDescent="0.15"/>
    <row r="882" ht="0" hidden="1" customHeight="1" x14ac:dyDescent="0.15"/>
    <row r="883" ht="0" hidden="1" customHeight="1" x14ac:dyDescent="0.15"/>
    <row r="884" ht="0" hidden="1" customHeight="1" x14ac:dyDescent="0.15"/>
    <row r="885" ht="0" hidden="1" customHeight="1" x14ac:dyDescent="0.15"/>
    <row r="886" ht="0" hidden="1" customHeight="1" x14ac:dyDescent="0.15"/>
    <row r="887" ht="0" hidden="1" customHeight="1" x14ac:dyDescent="0.15"/>
    <row r="888" ht="0" hidden="1" customHeight="1" x14ac:dyDescent="0.15"/>
    <row r="889" ht="0" hidden="1" customHeight="1" x14ac:dyDescent="0.15"/>
    <row r="890" ht="0" hidden="1" customHeight="1" x14ac:dyDescent="0.15"/>
    <row r="891" ht="0" hidden="1" customHeight="1" x14ac:dyDescent="0.15"/>
    <row r="892" ht="0" hidden="1" customHeight="1" x14ac:dyDescent="0.15"/>
    <row r="893" ht="0" hidden="1" customHeight="1" x14ac:dyDescent="0.15"/>
    <row r="894" ht="0" hidden="1" customHeight="1" x14ac:dyDescent="0.15"/>
    <row r="895" ht="0" hidden="1" customHeight="1" x14ac:dyDescent="0.15"/>
    <row r="896" ht="0" hidden="1" customHeight="1" x14ac:dyDescent="0.15"/>
    <row r="897" ht="0" hidden="1" customHeight="1" x14ac:dyDescent="0.15"/>
    <row r="898" ht="0" hidden="1" customHeight="1" x14ac:dyDescent="0.15"/>
    <row r="899" ht="0" hidden="1" customHeight="1" x14ac:dyDescent="0.15"/>
    <row r="900" ht="0" hidden="1" customHeight="1" x14ac:dyDescent="0.15"/>
    <row r="901" ht="0" hidden="1" customHeight="1" x14ac:dyDescent="0.15"/>
    <row r="902" ht="0" hidden="1" customHeight="1" x14ac:dyDescent="0.15"/>
    <row r="903" ht="0" hidden="1" customHeight="1" x14ac:dyDescent="0.15"/>
    <row r="904" ht="0" hidden="1" customHeight="1" x14ac:dyDescent="0.15"/>
    <row r="905" ht="0" hidden="1" customHeight="1" x14ac:dyDescent="0.15"/>
    <row r="906" ht="0" hidden="1" customHeight="1" x14ac:dyDescent="0.15"/>
    <row r="907" ht="0" hidden="1" customHeight="1" x14ac:dyDescent="0.15"/>
    <row r="908" ht="0" hidden="1" customHeight="1" x14ac:dyDescent="0.15"/>
    <row r="909" ht="0" hidden="1" customHeight="1" x14ac:dyDescent="0.15"/>
    <row r="910" ht="0" hidden="1" customHeight="1" x14ac:dyDescent="0.15"/>
    <row r="911" ht="0" hidden="1" customHeight="1" x14ac:dyDescent="0.15"/>
    <row r="912" ht="0" hidden="1" customHeight="1" x14ac:dyDescent="0.15"/>
    <row r="913" ht="0" hidden="1" customHeight="1" x14ac:dyDescent="0.15"/>
    <row r="914" ht="0" hidden="1" customHeight="1" x14ac:dyDescent="0.15"/>
    <row r="915" ht="0" hidden="1" customHeight="1" x14ac:dyDescent="0.15"/>
    <row r="916" ht="0" hidden="1" customHeight="1" x14ac:dyDescent="0.15"/>
    <row r="917" ht="0" hidden="1" customHeight="1" x14ac:dyDescent="0.15"/>
    <row r="918" ht="0" hidden="1" customHeight="1" x14ac:dyDescent="0.15"/>
    <row r="919" ht="0" hidden="1" customHeight="1" x14ac:dyDescent="0.15"/>
    <row r="920" ht="0" hidden="1" customHeight="1" x14ac:dyDescent="0.15"/>
    <row r="921" ht="0" hidden="1" customHeight="1" x14ac:dyDescent="0.15"/>
    <row r="922" ht="0" hidden="1" customHeight="1" x14ac:dyDescent="0.15"/>
    <row r="923" ht="0" hidden="1" customHeight="1" x14ac:dyDescent="0.15"/>
    <row r="924" ht="0" hidden="1" customHeight="1" x14ac:dyDescent="0.15"/>
    <row r="925" ht="0" hidden="1" customHeight="1" x14ac:dyDescent="0.15"/>
    <row r="926" ht="0" hidden="1" customHeight="1" x14ac:dyDescent="0.15"/>
    <row r="927" ht="0" hidden="1" customHeight="1" x14ac:dyDescent="0.15"/>
    <row r="928" ht="0" hidden="1" customHeight="1" x14ac:dyDescent="0.15"/>
    <row r="929" ht="0" hidden="1" customHeight="1" x14ac:dyDescent="0.15"/>
    <row r="930" ht="0" hidden="1" customHeight="1" x14ac:dyDescent="0.15"/>
    <row r="931" ht="0" hidden="1" customHeight="1" x14ac:dyDescent="0.15"/>
    <row r="932" ht="0" hidden="1" customHeight="1" x14ac:dyDescent="0.15"/>
    <row r="933" ht="0" hidden="1" customHeight="1" x14ac:dyDescent="0.15"/>
    <row r="934" ht="0" hidden="1" customHeight="1" x14ac:dyDescent="0.15"/>
    <row r="935" ht="0" hidden="1" customHeight="1" x14ac:dyDescent="0.15"/>
    <row r="936" ht="0" hidden="1" customHeight="1" x14ac:dyDescent="0.15"/>
    <row r="937" ht="0" hidden="1" customHeight="1" x14ac:dyDescent="0.15"/>
    <row r="938" ht="0" hidden="1" customHeight="1" x14ac:dyDescent="0.15"/>
    <row r="939" ht="0" hidden="1" customHeight="1" x14ac:dyDescent="0.15"/>
    <row r="940" ht="0" hidden="1" customHeight="1" x14ac:dyDescent="0.15"/>
    <row r="941" ht="0" hidden="1" customHeight="1" x14ac:dyDescent="0.15"/>
    <row r="942" ht="0" hidden="1" customHeight="1" x14ac:dyDescent="0.15"/>
    <row r="943" ht="0" hidden="1" customHeight="1" x14ac:dyDescent="0.15"/>
    <row r="944" ht="0" hidden="1" customHeight="1" x14ac:dyDescent="0.15"/>
    <row r="945" ht="0" hidden="1" customHeight="1" x14ac:dyDescent="0.15"/>
    <row r="946" ht="0" hidden="1" customHeight="1" x14ac:dyDescent="0.15"/>
    <row r="947" ht="0" hidden="1" customHeight="1" x14ac:dyDescent="0.15"/>
    <row r="948" ht="0" hidden="1" customHeight="1" x14ac:dyDescent="0.15"/>
    <row r="949" ht="0" hidden="1" customHeight="1" x14ac:dyDescent="0.15"/>
    <row r="950" ht="0" hidden="1" customHeight="1" x14ac:dyDescent="0.15"/>
    <row r="951" ht="0" hidden="1" customHeight="1" x14ac:dyDescent="0.15"/>
    <row r="952" ht="0" hidden="1" customHeight="1" x14ac:dyDescent="0.15"/>
    <row r="953" ht="0" hidden="1" customHeight="1" x14ac:dyDescent="0.15"/>
    <row r="954" ht="0" hidden="1" customHeight="1" x14ac:dyDescent="0.15"/>
    <row r="955" ht="0" hidden="1" customHeight="1" x14ac:dyDescent="0.15"/>
    <row r="956" ht="0" hidden="1" customHeight="1" x14ac:dyDescent="0.15"/>
    <row r="957" ht="0" hidden="1" customHeight="1" x14ac:dyDescent="0.15"/>
    <row r="958" ht="0" hidden="1" customHeight="1" x14ac:dyDescent="0.15"/>
    <row r="959" ht="0" hidden="1" customHeight="1" x14ac:dyDescent="0.15"/>
    <row r="960" ht="0" hidden="1" customHeight="1" x14ac:dyDescent="0.15"/>
    <row r="961" ht="0" hidden="1" customHeight="1" x14ac:dyDescent="0.15"/>
    <row r="962" ht="0" hidden="1" customHeight="1" x14ac:dyDescent="0.15"/>
    <row r="963" ht="0" hidden="1" customHeight="1" x14ac:dyDescent="0.15"/>
    <row r="964" ht="0" hidden="1" customHeight="1" x14ac:dyDescent="0.15"/>
    <row r="965" ht="0" hidden="1" customHeight="1" x14ac:dyDescent="0.15"/>
    <row r="966" ht="0" hidden="1" customHeight="1" x14ac:dyDescent="0.15"/>
    <row r="967" ht="0" hidden="1" customHeight="1" x14ac:dyDescent="0.15"/>
    <row r="968" ht="0" hidden="1" customHeight="1" x14ac:dyDescent="0.15"/>
    <row r="969" ht="0" hidden="1" customHeight="1" x14ac:dyDescent="0.15"/>
    <row r="970" ht="0" hidden="1" customHeight="1" x14ac:dyDescent="0.15"/>
    <row r="971" ht="0" hidden="1" customHeight="1" x14ac:dyDescent="0.15"/>
    <row r="972" ht="0" hidden="1" customHeight="1" x14ac:dyDescent="0.15"/>
    <row r="973" ht="0" hidden="1" customHeight="1" x14ac:dyDescent="0.15"/>
    <row r="974" ht="0" hidden="1" customHeight="1" x14ac:dyDescent="0.15"/>
    <row r="975" ht="0" hidden="1" customHeight="1" x14ac:dyDescent="0.15"/>
    <row r="976" ht="0" hidden="1" customHeight="1" x14ac:dyDescent="0.15"/>
    <row r="977" ht="0" hidden="1" customHeight="1" x14ac:dyDescent="0.15"/>
    <row r="978" ht="0" hidden="1" customHeight="1" x14ac:dyDescent="0.15"/>
    <row r="979" ht="0" hidden="1" customHeight="1" x14ac:dyDescent="0.15"/>
    <row r="980" ht="0" hidden="1" customHeight="1" x14ac:dyDescent="0.15"/>
    <row r="981" ht="0" hidden="1" customHeight="1" x14ac:dyDescent="0.15"/>
    <row r="982" ht="0" hidden="1" customHeight="1" x14ac:dyDescent="0.15"/>
    <row r="983" ht="0" hidden="1" customHeight="1" x14ac:dyDescent="0.15"/>
    <row r="984" ht="0" hidden="1" customHeight="1" x14ac:dyDescent="0.15"/>
    <row r="985" ht="0" hidden="1" customHeight="1" x14ac:dyDescent="0.15"/>
    <row r="986" ht="0" hidden="1" customHeight="1" x14ac:dyDescent="0.15"/>
    <row r="987" ht="0" hidden="1" customHeight="1" x14ac:dyDescent="0.15"/>
    <row r="988" ht="0" hidden="1" customHeight="1" x14ac:dyDescent="0.15"/>
    <row r="989" ht="0" hidden="1" customHeight="1" x14ac:dyDescent="0.15"/>
    <row r="990" ht="0" hidden="1" customHeight="1" x14ac:dyDescent="0.15"/>
    <row r="991" ht="0" hidden="1" customHeight="1" x14ac:dyDescent="0.15"/>
    <row r="992" ht="0" hidden="1" customHeight="1" x14ac:dyDescent="0.15"/>
    <row r="993" ht="0" hidden="1" customHeight="1" x14ac:dyDescent="0.15"/>
    <row r="994" ht="0" hidden="1" customHeight="1" x14ac:dyDescent="0.15"/>
    <row r="995" ht="0" hidden="1" customHeight="1" x14ac:dyDescent="0.15"/>
    <row r="996" ht="0" hidden="1" customHeight="1" x14ac:dyDescent="0.15"/>
    <row r="997" ht="0" hidden="1" customHeight="1" x14ac:dyDescent="0.15"/>
    <row r="998" ht="0" hidden="1" customHeight="1" x14ac:dyDescent="0.15"/>
    <row r="999" ht="0" hidden="1" customHeight="1" x14ac:dyDescent="0.15"/>
    <row r="1000" ht="0" hidden="1" customHeight="1" x14ac:dyDescent="0.15"/>
    <row r="1001" ht="0" hidden="1" customHeight="1" x14ac:dyDescent="0.15"/>
    <row r="1002" ht="0" hidden="1" customHeight="1" x14ac:dyDescent="0.15"/>
    <row r="1003" ht="0" hidden="1" customHeight="1" x14ac:dyDescent="0.15"/>
    <row r="1004" ht="0" hidden="1" customHeight="1" x14ac:dyDescent="0.15"/>
    <row r="1005" ht="0" hidden="1" customHeight="1" x14ac:dyDescent="0.15"/>
    <row r="1006" ht="0" hidden="1" customHeight="1" x14ac:dyDescent="0.15"/>
    <row r="1007" ht="0" hidden="1" customHeight="1" x14ac:dyDescent="0.15"/>
    <row r="1008" ht="0" hidden="1" customHeight="1" x14ac:dyDescent="0.15"/>
    <row r="1009" ht="0" hidden="1" customHeight="1" x14ac:dyDescent="0.15"/>
    <row r="1010" ht="0" hidden="1" customHeight="1" x14ac:dyDescent="0.15"/>
    <row r="1011" ht="0" hidden="1" customHeight="1" x14ac:dyDescent="0.15"/>
    <row r="1012" ht="0" hidden="1" customHeight="1" x14ac:dyDescent="0.15"/>
    <row r="1013" ht="0" hidden="1" customHeight="1" x14ac:dyDescent="0.15"/>
    <row r="1014" ht="0" hidden="1" customHeight="1" x14ac:dyDescent="0.15"/>
    <row r="1015" ht="0" hidden="1" customHeight="1" x14ac:dyDescent="0.15"/>
    <row r="1016" ht="0" hidden="1" customHeight="1" x14ac:dyDescent="0.15"/>
    <row r="1017" ht="0" hidden="1" customHeight="1" x14ac:dyDescent="0.15"/>
    <row r="1018" ht="0" hidden="1" customHeight="1" x14ac:dyDescent="0.15"/>
    <row r="1019" ht="0" hidden="1" customHeight="1" x14ac:dyDescent="0.15"/>
    <row r="1020" ht="0" hidden="1" customHeight="1" x14ac:dyDescent="0.15"/>
    <row r="1021" ht="0" hidden="1" customHeight="1" x14ac:dyDescent="0.15"/>
    <row r="1022" ht="0" hidden="1" customHeight="1" x14ac:dyDescent="0.15"/>
    <row r="1023" ht="0" hidden="1" customHeight="1" x14ac:dyDescent="0.15"/>
    <row r="1024" ht="0" hidden="1" customHeight="1" x14ac:dyDescent="0.15"/>
    <row r="1025" ht="0" hidden="1" customHeight="1" x14ac:dyDescent="0.15"/>
    <row r="1026" ht="0" hidden="1" customHeight="1" x14ac:dyDescent="0.15"/>
    <row r="1027" ht="0" hidden="1" customHeight="1" x14ac:dyDescent="0.15"/>
    <row r="1028" ht="0" hidden="1" customHeight="1" x14ac:dyDescent="0.15"/>
    <row r="1029" ht="0" hidden="1" customHeight="1" x14ac:dyDescent="0.15"/>
    <row r="1030" ht="0" hidden="1" customHeight="1" x14ac:dyDescent="0.15"/>
    <row r="1031" ht="0" hidden="1" customHeight="1" x14ac:dyDescent="0.15"/>
    <row r="1032" ht="0" hidden="1" customHeight="1" x14ac:dyDescent="0.15"/>
    <row r="1033" ht="0" hidden="1" customHeight="1" x14ac:dyDescent="0.15"/>
    <row r="1034" ht="0" hidden="1" customHeight="1" x14ac:dyDescent="0.15"/>
    <row r="1035" ht="0" hidden="1" customHeight="1" x14ac:dyDescent="0.15"/>
    <row r="1036" ht="0" hidden="1" customHeight="1" x14ac:dyDescent="0.15"/>
    <row r="1037" ht="0" hidden="1" customHeight="1" x14ac:dyDescent="0.15"/>
    <row r="1038" ht="0" hidden="1" customHeight="1" x14ac:dyDescent="0.15"/>
    <row r="1039" ht="0" hidden="1" customHeight="1" x14ac:dyDescent="0.15"/>
    <row r="1040" ht="0" hidden="1" customHeight="1" x14ac:dyDescent="0.15"/>
  </sheetData>
  <autoFilter ref="A1:J293" xr:uid="{31EF26F6-7F78-8B44-8955-6D91302E9855}"/>
  <pageMargins left="0" right="0" top="0" bottom="0" header="0" footer="0"/>
  <pageSetup paperSize="9" orientation="landscape" r:id="rId1"/>
  <rowBreaks count="2" manualBreakCount="2">
    <brk id="60" man="1"/>
    <brk id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R377"/>
  <sheetViews>
    <sheetView rightToLeft="1" topLeftCell="A368" workbookViewId="0">
      <selection activeCell="B381" sqref="B381"/>
    </sheetView>
  </sheetViews>
  <sheetFormatPr defaultColWidth="14.29296875" defaultRowHeight="15" customHeight="1" x14ac:dyDescent="0.15"/>
  <cols>
    <col min="1" max="1" width="7.4140625" customWidth="1"/>
    <col min="2" max="2" width="41.9375" customWidth="1"/>
    <col min="3" max="4" width="15.5078125" bestFit="1" customWidth="1"/>
    <col min="5" max="5" width="16.1796875" customWidth="1"/>
    <col min="6" max="6" width="19.55078125" customWidth="1"/>
    <col min="7" max="7" width="23.4609375" customWidth="1"/>
    <col min="8" max="8" width="21.171875" customWidth="1"/>
    <col min="9" max="9" width="23.328125" customWidth="1"/>
    <col min="10" max="10" width="60.81640625" customWidth="1"/>
    <col min="11" max="12" width="6.7421875" customWidth="1"/>
    <col min="13" max="14" width="18.7421875" customWidth="1"/>
    <col min="15" max="15" width="6.7421875" customWidth="1"/>
    <col min="16" max="17" width="13.88671875" customWidth="1"/>
    <col min="18" max="18" width="13.21484375" customWidth="1"/>
  </cols>
  <sheetData>
    <row r="1" spans="1:18" ht="18" x14ac:dyDescent="0.15">
      <c r="E1" s="5"/>
    </row>
    <row r="2" spans="1:18" ht="18" x14ac:dyDescent="0.15">
      <c r="E2" s="5"/>
    </row>
    <row r="3" spans="1:18" ht="42.75" customHeight="1" x14ac:dyDescent="0.15">
      <c r="E3" s="5"/>
    </row>
    <row r="4" spans="1:18" ht="33" customHeight="1" x14ac:dyDescent="0.15">
      <c r="B4" s="43" t="s">
        <v>454</v>
      </c>
      <c r="C4" s="44"/>
      <c r="D4" s="44"/>
      <c r="E4" s="44"/>
      <c r="F4" s="44"/>
      <c r="G4" s="44"/>
      <c r="H4" s="44"/>
      <c r="I4" s="44"/>
      <c r="J4" s="44"/>
    </row>
    <row r="5" spans="1:18" ht="15" customHeight="1" x14ac:dyDescent="0.15">
      <c r="E5" s="5"/>
    </row>
    <row r="6" spans="1:18" ht="33" customHeight="1" x14ac:dyDescent="0.15">
      <c r="A6" s="6" t="s">
        <v>455</v>
      </c>
      <c r="B6" s="6" t="s">
        <v>12</v>
      </c>
      <c r="C6" s="7" t="s">
        <v>11</v>
      </c>
      <c r="D6" s="6" t="s">
        <v>10</v>
      </c>
      <c r="E6" s="8" t="s">
        <v>456</v>
      </c>
      <c r="F6" s="6" t="s">
        <v>457</v>
      </c>
      <c r="G6" s="6" t="s">
        <v>835</v>
      </c>
      <c r="H6" s="6" t="s">
        <v>458</v>
      </c>
      <c r="I6" s="6" t="s">
        <v>459</v>
      </c>
      <c r="J6" s="6" t="s">
        <v>460</v>
      </c>
      <c r="K6" s="9"/>
      <c r="L6" s="10"/>
      <c r="M6" s="10"/>
      <c r="N6" s="10"/>
      <c r="O6" s="10"/>
      <c r="P6" s="10"/>
      <c r="Q6" s="11"/>
      <c r="R6" s="11"/>
    </row>
    <row r="7" spans="1:18" ht="39" customHeight="1" x14ac:dyDescent="0.15">
      <c r="A7" s="12">
        <f t="shared" ref="A7:A261" si="0">SUBTOTAL(3,$B$7:B7)</f>
        <v>1</v>
      </c>
      <c r="B7" s="13" t="s">
        <v>461</v>
      </c>
      <c r="C7" s="6">
        <v>31341109.670000002</v>
      </c>
      <c r="D7" s="14">
        <v>15451888.77</v>
      </c>
      <c r="E7" s="15"/>
      <c r="F7" s="6" t="s">
        <v>837</v>
      </c>
      <c r="G7" s="16"/>
      <c r="H7" s="12"/>
      <c r="I7" s="12"/>
      <c r="J7" s="17"/>
      <c r="K7" s="18"/>
      <c r="M7" s="19">
        <v>25854277</v>
      </c>
      <c r="N7" s="20"/>
      <c r="Q7" s="2"/>
      <c r="R7" s="2"/>
    </row>
    <row r="8" spans="1:18" ht="39" customHeight="1" x14ac:dyDescent="0.15">
      <c r="A8" s="12">
        <f t="shared" si="0"/>
        <v>2</v>
      </c>
      <c r="B8" s="13" t="s">
        <v>463</v>
      </c>
      <c r="C8" s="6">
        <v>27489632.740000002</v>
      </c>
      <c r="D8" s="14">
        <v>27237742.18</v>
      </c>
      <c r="E8" s="15"/>
      <c r="F8" s="6" t="s">
        <v>836</v>
      </c>
      <c r="G8" s="27"/>
      <c r="H8" s="12"/>
      <c r="I8" s="12"/>
      <c r="J8" s="12"/>
      <c r="K8" s="18"/>
      <c r="M8" s="19">
        <v>56265026</v>
      </c>
      <c r="N8" s="20"/>
      <c r="Q8" s="2"/>
      <c r="R8" s="2"/>
    </row>
    <row r="9" spans="1:18" ht="39" customHeight="1" x14ac:dyDescent="0.15">
      <c r="A9" s="12">
        <f t="shared" si="0"/>
        <v>3</v>
      </c>
      <c r="B9" s="13" t="s">
        <v>465</v>
      </c>
      <c r="C9" s="6">
        <v>21282820.899999999</v>
      </c>
      <c r="D9" s="14">
        <v>16543570</v>
      </c>
      <c r="E9" s="15"/>
      <c r="F9" s="6" t="s">
        <v>462</v>
      </c>
      <c r="G9" s="16"/>
      <c r="H9" s="12"/>
      <c r="I9" s="12"/>
      <c r="J9" s="12"/>
      <c r="K9" s="18"/>
      <c r="M9" s="19">
        <v>21496186.280000001</v>
      </c>
      <c r="N9" s="20"/>
      <c r="Q9" s="2"/>
      <c r="R9" s="2"/>
    </row>
    <row r="10" spans="1:18" ht="39" customHeight="1" x14ac:dyDescent="0.15">
      <c r="A10" s="12">
        <f t="shared" si="0"/>
        <v>4</v>
      </c>
      <c r="B10" s="13" t="s">
        <v>466</v>
      </c>
      <c r="C10" s="6">
        <v>19164282.739999998</v>
      </c>
      <c r="D10" s="14">
        <v>14962156.140000001</v>
      </c>
      <c r="E10" s="15"/>
      <c r="F10" s="6" t="s">
        <v>462</v>
      </c>
      <c r="G10" s="12"/>
      <c r="H10" s="12"/>
      <c r="I10" s="12"/>
      <c r="J10" s="12"/>
      <c r="K10" s="18"/>
      <c r="M10" s="19">
        <v>17500000</v>
      </c>
      <c r="N10" s="20"/>
      <c r="Q10" s="2"/>
      <c r="R10" s="2"/>
    </row>
    <row r="11" spans="1:18" ht="39" customHeight="1" x14ac:dyDescent="0.15">
      <c r="A11" s="12">
        <f t="shared" si="0"/>
        <v>5</v>
      </c>
      <c r="B11" s="13" t="s">
        <v>467</v>
      </c>
      <c r="C11" s="6">
        <v>18526072.75</v>
      </c>
      <c r="D11" s="14">
        <v>0</v>
      </c>
      <c r="E11" s="15"/>
      <c r="F11" s="6" t="s">
        <v>464</v>
      </c>
      <c r="G11" s="16"/>
      <c r="H11" s="12"/>
      <c r="I11" s="12"/>
      <c r="J11" s="12"/>
      <c r="K11" s="18"/>
      <c r="M11" s="19">
        <v>21953800</v>
      </c>
      <c r="N11" s="20"/>
      <c r="Q11" s="2"/>
      <c r="R11" s="2"/>
    </row>
    <row r="12" spans="1:18" ht="39" customHeight="1" x14ac:dyDescent="0.15">
      <c r="A12" s="12">
        <f t="shared" si="0"/>
        <v>6</v>
      </c>
      <c r="B12" s="13" t="s">
        <v>468</v>
      </c>
      <c r="C12" s="6">
        <v>15064032.08</v>
      </c>
      <c r="D12" s="14">
        <v>8954339.25</v>
      </c>
      <c r="E12" s="15"/>
      <c r="F12" s="6" t="s">
        <v>462</v>
      </c>
      <c r="G12" s="12"/>
      <c r="H12" s="12"/>
      <c r="I12" s="12"/>
      <c r="J12" s="12"/>
      <c r="K12" s="18"/>
      <c r="M12" s="19">
        <v>11000000</v>
      </c>
      <c r="N12" s="20"/>
      <c r="Q12" s="2"/>
      <c r="R12" s="2"/>
    </row>
    <row r="13" spans="1:18" ht="39" customHeight="1" x14ac:dyDescent="0.15">
      <c r="A13" s="12">
        <f t="shared" si="0"/>
        <v>7</v>
      </c>
      <c r="B13" s="13" t="s">
        <v>469</v>
      </c>
      <c r="C13" s="6">
        <v>14141617.76</v>
      </c>
      <c r="D13" s="14">
        <v>10914662.25</v>
      </c>
      <c r="E13" s="15"/>
      <c r="F13" s="6" t="s">
        <v>837</v>
      </c>
      <c r="G13" s="16"/>
      <c r="H13" s="12"/>
      <c r="I13" s="12"/>
      <c r="J13" s="17"/>
      <c r="K13" s="18"/>
      <c r="M13" s="19">
        <v>16860277</v>
      </c>
      <c r="N13" s="20"/>
      <c r="Q13" s="2"/>
      <c r="R13" s="2"/>
    </row>
    <row r="14" spans="1:18" ht="39" customHeight="1" x14ac:dyDescent="0.15">
      <c r="A14" s="12">
        <f t="shared" si="0"/>
        <v>8</v>
      </c>
      <c r="B14" s="13" t="s">
        <v>470</v>
      </c>
      <c r="C14" s="6">
        <v>13696655.73</v>
      </c>
      <c r="D14" s="14">
        <v>16253830.23</v>
      </c>
      <c r="E14" s="15"/>
      <c r="F14" s="6" t="s">
        <v>462</v>
      </c>
      <c r="G14" s="12"/>
      <c r="H14" s="12"/>
      <c r="I14" s="12"/>
      <c r="J14" s="17"/>
      <c r="K14" s="18"/>
      <c r="M14" s="19">
        <v>10000000</v>
      </c>
      <c r="N14" s="20"/>
      <c r="Q14" s="2"/>
      <c r="R14" s="2"/>
    </row>
    <row r="15" spans="1:18" ht="39" customHeight="1" x14ac:dyDescent="0.15">
      <c r="A15" s="12">
        <f t="shared" si="0"/>
        <v>9</v>
      </c>
      <c r="B15" s="13" t="s">
        <v>471</v>
      </c>
      <c r="C15" s="6">
        <v>12526667.6</v>
      </c>
      <c r="D15" s="14">
        <v>3544693.66</v>
      </c>
      <c r="E15" s="15"/>
      <c r="F15" s="6" t="s">
        <v>464</v>
      </c>
      <c r="G15" s="12"/>
      <c r="H15" s="12"/>
      <c r="I15" s="12"/>
      <c r="J15" s="12"/>
      <c r="K15" s="18"/>
      <c r="M15" s="19">
        <v>12070792</v>
      </c>
      <c r="N15" s="20"/>
      <c r="Q15" s="2"/>
      <c r="R15" s="2"/>
    </row>
    <row r="16" spans="1:18" ht="39" customHeight="1" x14ac:dyDescent="0.15">
      <c r="A16" s="12">
        <f t="shared" si="0"/>
        <v>10</v>
      </c>
      <c r="B16" s="13" t="s">
        <v>472</v>
      </c>
      <c r="C16" s="6">
        <v>12303642.77</v>
      </c>
      <c r="D16" s="14">
        <v>11730463.26</v>
      </c>
      <c r="E16" s="15"/>
      <c r="F16" s="6" t="s">
        <v>464</v>
      </c>
      <c r="G16" s="21"/>
      <c r="H16" s="12"/>
      <c r="I16" s="12"/>
      <c r="J16" s="12"/>
      <c r="K16" s="18"/>
      <c r="M16" s="19">
        <v>6500000</v>
      </c>
      <c r="N16" s="20"/>
      <c r="Q16" s="2"/>
      <c r="R16" s="2"/>
    </row>
    <row r="17" spans="1:18" ht="39" customHeight="1" x14ac:dyDescent="0.15">
      <c r="A17" s="12">
        <f t="shared" si="0"/>
        <v>11</v>
      </c>
      <c r="B17" s="13" t="s">
        <v>473</v>
      </c>
      <c r="C17" s="6">
        <v>11875548.98</v>
      </c>
      <c r="D17" s="14">
        <v>17272142.91</v>
      </c>
      <c r="E17" s="15"/>
      <c r="F17" s="6" t="s">
        <v>462</v>
      </c>
      <c r="G17" s="16"/>
      <c r="H17" s="12"/>
      <c r="I17" s="12"/>
      <c r="J17" s="12"/>
      <c r="K17" s="18"/>
      <c r="M17" s="19">
        <v>24836240</v>
      </c>
      <c r="N17" s="20"/>
      <c r="Q17" s="2"/>
      <c r="R17" s="2"/>
    </row>
    <row r="18" spans="1:18" ht="39" customHeight="1" x14ac:dyDescent="0.15">
      <c r="A18" s="12">
        <f t="shared" si="0"/>
        <v>12</v>
      </c>
      <c r="B18" s="13" t="s">
        <v>474</v>
      </c>
      <c r="C18" s="6">
        <v>9994161.3399999999</v>
      </c>
      <c r="D18" s="14">
        <v>3825117.7800000003</v>
      </c>
      <c r="E18" s="15"/>
      <c r="F18" s="6" t="s">
        <v>464</v>
      </c>
      <c r="G18" s="21"/>
      <c r="H18" s="12"/>
      <c r="I18" s="12"/>
      <c r="J18" s="12"/>
      <c r="K18" s="18"/>
      <c r="M18" s="19">
        <v>3159211</v>
      </c>
      <c r="N18" s="20"/>
      <c r="Q18" s="2"/>
      <c r="R18" s="2"/>
    </row>
    <row r="19" spans="1:18" ht="39" customHeight="1" x14ac:dyDescent="0.15">
      <c r="A19" s="12">
        <f t="shared" si="0"/>
        <v>13</v>
      </c>
      <c r="B19" s="13" t="s">
        <v>475</v>
      </c>
      <c r="C19" s="6">
        <v>9652254.9499999993</v>
      </c>
      <c r="D19" s="14">
        <v>2883407.11</v>
      </c>
      <c r="E19" s="15"/>
      <c r="F19" s="6" t="s">
        <v>464</v>
      </c>
      <c r="G19" s="16"/>
      <c r="H19" s="12"/>
      <c r="I19" s="12"/>
      <c r="J19" s="17"/>
      <c r="K19" s="18"/>
      <c r="M19" s="19">
        <v>5010356</v>
      </c>
      <c r="N19" s="20"/>
      <c r="Q19" s="2"/>
      <c r="R19" s="2"/>
    </row>
    <row r="20" spans="1:18" ht="39" customHeight="1" x14ac:dyDescent="0.15">
      <c r="A20" s="12">
        <f t="shared" si="0"/>
        <v>14</v>
      </c>
      <c r="B20" s="13" t="s">
        <v>476</v>
      </c>
      <c r="C20" s="6">
        <v>9336019.9800000004</v>
      </c>
      <c r="D20" s="14">
        <v>7098486.6100000003</v>
      </c>
      <c r="E20" s="15"/>
      <c r="F20" s="6" t="s">
        <v>464</v>
      </c>
      <c r="G20" s="16"/>
      <c r="H20" s="12"/>
      <c r="I20" s="12"/>
      <c r="J20" s="12"/>
      <c r="K20" s="18"/>
      <c r="M20" s="19">
        <v>1880000</v>
      </c>
      <c r="N20" s="20"/>
      <c r="Q20" s="2"/>
      <c r="R20" s="2"/>
    </row>
    <row r="21" spans="1:18" ht="39" customHeight="1" x14ac:dyDescent="0.15">
      <c r="A21" s="12">
        <f t="shared" si="0"/>
        <v>15</v>
      </c>
      <c r="B21" s="13" t="s">
        <v>477</v>
      </c>
      <c r="C21" s="6">
        <v>9063648.9700000007</v>
      </c>
      <c r="D21" s="14">
        <v>8784658.5800000001</v>
      </c>
      <c r="E21" s="15"/>
      <c r="F21" s="6" t="s">
        <v>462</v>
      </c>
      <c r="G21" s="21"/>
      <c r="H21" s="12"/>
      <c r="I21" s="12"/>
      <c r="J21" s="12"/>
      <c r="K21" s="18"/>
      <c r="M21" s="19">
        <v>8023820</v>
      </c>
      <c r="N21" s="20"/>
      <c r="Q21" s="2"/>
      <c r="R21" s="2"/>
    </row>
    <row r="22" spans="1:18" ht="39" customHeight="1" x14ac:dyDescent="0.15">
      <c r="A22" s="12">
        <f t="shared" si="0"/>
        <v>16</v>
      </c>
      <c r="B22" s="13" t="s">
        <v>478</v>
      </c>
      <c r="C22" s="6">
        <v>9011930.6799999997</v>
      </c>
      <c r="D22" s="14">
        <v>8071110.5</v>
      </c>
      <c r="E22" s="15"/>
      <c r="F22" s="6" t="s">
        <v>464</v>
      </c>
      <c r="G22" s="21"/>
      <c r="H22" s="12"/>
      <c r="I22" s="12"/>
      <c r="J22" s="12"/>
      <c r="K22" s="18"/>
      <c r="M22" s="19">
        <v>8023928</v>
      </c>
      <c r="N22" s="20"/>
      <c r="Q22" s="2"/>
      <c r="R22" s="2"/>
    </row>
    <row r="23" spans="1:18" ht="39" customHeight="1" x14ac:dyDescent="0.15">
      <c r="A23" s="12">
        <f t="shared" si="0"/>
        <v>17</v>
      </c>
      <c r="B23" s="13" t="s">
        <v>479</v>
      </c>
      <c r="C23" s="6">
        <v>8298971.8600000003</v>
      </c>
      <c r="D23" s="14">
        <v>2689496.2600000002</v>
      </c>
      <c r="E23" s="15"/>
      <c r="F23" s="6" t="s">
        <v>464</v>
      </c>
      <c r="G23" s="21"/>
      <c r="H23" s="12"/>
      <c r="I23" s="12"/>
      <c r="J23" s="12"/>
      <c r="K23" s="18"/>
      <c r="M23" s="19">
        <v>5439496</v>
      </c>
      <c r="N23" s="20"/>
      <c r="Q23" s="2"/>
      <c r="R23" s="2"/>
    </row>
    <row r="24" spans="1:18" ht="39" customHeight="1" x14ac:dyDescent="0.15">
      <c r="A24" s="12">
        <f t="shared" si="0"/>
        <v>18</v>
      </c>
      <c r="B24" s="13" t="s">
        <v>480</v>
      </c>
      <c r="C24" s="6">
        <v>7771236.2599999998</v>
      </c>
      <c r="D24" s="14">
        <v>16025381.33</v>
      </c>
      <c r="E24" s="15"/>
      <c r="F24" s="6" t="s">
        <v>462</v>
      </c>
      <c r="G24" s="16"/>
      <c r="H24" s="12"/>
      <c r="I24" s="12"/>
      <c r="J24" s="12"/>
      <c r="K24" s="18"/>
      <c r="M24" s="19">
        <v>504000</v>
      </c>
      <c r="N24" s="20"/>
      <c r="Q24" s="2"/>
      <c r="R24" s="2"/>
    </row>
    <row r="25" spans="1:18" ht="39" customHeight="1" x14ac:dyDescent="0.15">
      <c r="A25" s="12">
        <f t="shared" si="0"/>
        <v>19</v>
      </c>
      <c r="B25" s="13" t="s">
        <v>481</v>
      </c>
      <c r="C25" s="6">
        <v>7480497.0600000005</v>
      </c>
      <c r="D25" s="14">
        <v>7580497.0600000005</v>
      </c>
      <c r="E25" s="15"/>
      <c r="F25" s="6" t="s">
        <v>464</v>
      </c>
      <c r="G25" s="16"/>
      <c r="H25" s="12"/>
      <c r="I25" s="12"/>
      <c r="J25" s="12"/>
      <c r="K25" s="18"/>
      <c r="M25" s="19">
        <v>100000</v>
      </c>
      <c r="N25" s="20"/>
      <c r="Q25" s="2"/>
      <c r="R25" s="2"/>
    </row>
    <row r="26" spans="1:18" ht="39" customHeight="1" x14ac:dyDescent="0.15">
      <c r="A26" s="12">
        <f t="shared" si="0"/>
        <v>20</v>
      </c>
      <c r="B26" s="13" t="s">
        <v>482</v>
      </c>
      <c r="C26" s="6">
        <v>7327594.9199999999</v>
      </c>
      <c r="D26" s="14">
        <v>6367594.9199999999</v>
      </c>
      <c r="E26" s="15"/>
      <c r="F26" s="6" t="s">
        <v>464</v>
      </c>
      <c r="G26" s="12"/>
      <c r="H26" s="12"/>
      <c r="I26" s="12"/>
      <c r="J26" s="12"/>
      <c r="K26" s="18"/>
      <c r="M26" s="19">
        <v>40000</v>
      </c>
      <c r="N26" s="20"/>
      <c r="Q26" s="2"/>
      <c r="R26" s="2"/>
    </row>
    <row r="27" spans="1:18" ht="39" customHeight="1" x14ac:dyDescent="0.15">
      <c r="A27" s="12">
        <f t="shared" si="0"/>
        <v>21</v>
      </c>
      <c r="B27" s="13" t="s">
        <v>483</v>
      </c>
      <c r="C27" s="6">
        <v>6697967.5099999998</v>
      </c>
      <c r="D27" s="14">
        <v>1289392.27</v>
      </c>
      <c r="E27" s="15"/>
      <c r="F27" s="6" t="s">
        <v>464</v>
      </c>
      <c r="G27" s="21"/>
      <c r="H27" s="12"/>
      <c r="I27" s="12"/>
      <c r="J27" s="12"/>
      <c r="K27" s="18"/>
      <c r="M27" s="19">
        <v>9262440</v>
      </c>
      <c r="N27" s="20"/>
      <c r="Q27" s="2"/>
      <c r="R27" s="2"/>
    </row>
    <row r="28" spans="1:18" ht="39" customHeight="1" x14ac:dyDescent="0.15">
      <c r="A28" s="12">
        <f t="shared" si="0"/>
        <v>22</v>
      </c>
      <c r="B28" s="13" t="s">
        <v>484</v>
      </c>
      <c r="C28" s="6">
        <v>6636096.2999999998</v>
      </c>
      <c r="D28" s="14">
        <v>6526714.0800000001</v>
      </c>
      <c r="E28" s="15"/>
      <c r="F28" s="6" t="s">
        <v>464</v>
      </c>
      <c r="G28" s="12"/>
      <c r="H28" s="12"/>
      <c r="I28" s="12"/>
      <c r="J28" s="12"/>
      <c r="K28" s="18"/>
      <c r="M28" s="19">
        <v>19785168</v>
      </c>
      <c r="N28" s="20"/>
      <c r="Q28" s="2"/>
      <c r="R28" s="2"/>
    </row>
    <row r="29" spans="1:18" ht="39" customHeight="1" x14ac:dyDescent="0.15">
      <c r="A29" s="12">
        <f t="shared" si="0"/>
        <v>23</v>
      </c>
      <c r="B29" s="13" t="s">
        <v>485</v>
      </c>
      <c r="C29" s="6">
        <v>6496226.7700000005</v>
      </c>
      <c r="D29" s="14">
        <v>6354660.9000000004</v>
      </c>
      <c r="E29" s="15"/>
      <c r="F29" s="6" t="s">
        <v>462</v>
      </c>
      <c r="G29" s="21"/>
      <c r="H29" s="12"/>
      <c r="I29" s="12"/>
      <c r="J29" s="12"/>
      <c r="K29" s="18"/>
      <c r="M29" s="19">
        <v>7567700</v>
      </c>
      <c r="N29" s="20"/>
      <c r="Q29" s="2"/>
      <c r="R29" s="2"/>
    </row>
    <row r="30" spans="1:18" ht="39" customHeight="1" x14ac:dyDescent="0.15">
      <c r="A30" s="12">
        <f t="shared" si="0"/>
        <v>24</v>
      </c>
      <c r="B30" s="13" t="s">
        <v>486</v>
      </c>
      <c r="C30" s="6">
        <v>6310691.5</v>
      </c>
      <c r="D30" s="14">
        <v>4735851.5</v>
      </c>
      <c r="E30" s="15"/>
      <c r="F30" s="6" t="s">
        <v>462</v>
      </c>
      <c r="G30" s="21"/>
      <c r="H30" s="12"/>
      <c r="I30" s="12"/>
      <c r="J30" s="12"/>
      <c r="K30" s="18"/>
      <c r="M30" s="19">
        <v>7605651</v>
      </c>
      <c r="N30" s="20"/>
      <c r="Q30" s="2"/>
      <c r="R30" s="2"/>
    </row>
    <row r="31" spans="1:18" ht="39" customHeight="1" x14ac:dyDescent="0.15">
      <c r="A31" s="12">
        <f t="shared" si="0"/>
        <v>25</v>
      </c>
      <c r="B31" s="13" t="s">
        <v>487</v>
      </c>
      <c r="C31" s="6">
        <v>6090041.4199999999</v>
      </c>
      <c r="D31" s="14">
        <v>3460828.8200000003</v>
      </c>
      <c r="E31" s="15"/>
      <c r="F31" s="6" t="s">
        <v>464</v>
      </c>
      <c r="G31" s="16"/>
      <c r="H31" s="12"/>
      <c r="I31" s="12"/>
      <c r="J31" s="12"/>
      <c r="K31" s="18"/>
      <c r="M31" s="19">
        <v>4838961</v>
      </c>
      <c r="N31" s="20"/>
      <c r="Q31" s="2"/>
      <c r="R31" s="2"/>
    </row>
    <row r="32" spans="1:18" ht="39" customHeight="1" x14ac:dyDescent="0.15">
      <c r="A32" s="12">
        <f t="shared" si="0"/>
        <v>26</v>
      </c>
      <c r="B32" s="13" t="s">
        <v>488</v>
      </c>
      <c r="C32" s="6">
        <v>5782670.8100000005</v>
      </c>
      <c r="D32" s="14">
        <v>3016148.41</v>
      </c>
      <c r="E32" s="15"/>
      <c r="F32" s="6" t="s">
        <v>462</v>
      </c>
      <c r="G32" s="21"/>
      <c r="H32" s="12"/>
      <c r="I32" s="12"/>
      <c r="J32" s="12"/>
      <c r="K32" s="18"/>
      <c r="M32" s="19">
        <v>6659053</v>
      </c>
      <c r="N32" s="20"/>
      <c r="Q32" s="2"/>
      <c r="R32" s="2"/>
    </row>
    <row r="33" spans="1:18" ht="39" customHeight="1" x14ac:dyDescent="0.15">
      <c r="A33" s="12">
        <f t="shared" si="0"/>
        <v>27</v>
      </c>
      <c r="B33" s="13" t="s">
        <v>489</v>
      </c>
      <c r="C33" s="6">
        <v>5739363.1100000003</v>
      </c>
      <c r="D33" s="14">
        <v>83640</v>
      </c>
      <c r="E33" s="15"/>
      <c r="F33" s="6" t="s">
        <v>464</v>
      </c>
      <c r="G33" s="12"/>
      <c r="H33" s="12"/>
      <c r="I33" s="12"/>
      <c r="J33" s="12"/>
      <c r="K33" s="18"/>
      <c r="M33" s="19">
        <v>3913640</v>
      </c>
      <c r="N33" s="20"/>
      <c r="Q33" s="2"/>
      <c r="R33" s="2"/>
    </row>
    <row r="34" spans="1:18" ht="39" customHeight="1" x14ac:dyDescent="0.15">
      <c r="A34" s="12">
        <f t="shared" si="0"/>
        <v>28</v>
      </c>
      <c r="B34" s="13" t="s">
        <v>490</v>
      </c>
      <c r="C34" s="6">
        <v>5467300</v>
      </c>
      <c r="D34" s="14">
        <v>4177370</v>
      </c>
      <c r="E34" s="15"/>
      <c r="F34" s="6" t="s">
        <v>462</v>
      </c>
      <c r="G34" s="21"/>
      <c r="H34" s="12"/>
      <c r="I34" s="12"/>
      <c r="J34" s="12"/>
      <c r="K34" s="18"/>
      <c r="M34" s="19">
        <v>4177370</v>
      </c>
      <c r="N34" s="20"/>
      <c r="Q34" s="2"/>
      <c r="R34" s="2"/>
    </row>
    <row r="35" spans="1:18" ht="39" customHeight="1" x14ac:dyDescent="0.15">
      <c r="A35" s="12">
        <f t="shared" si="0"/>
        <v>29</v>
      </c>
      <c r="B35" s="13" t="s">
        <v>491</v>
      </c>
      <c r="C35" s="6">
        <v>5360412.2</v>
      </c>
      <c r="D35" s="14">
        <v>7261992.2000000002</v>
      </c>
      <c r="E35" s="15"/>
      <c r="F35" s="6" t="s">
        <v>462</v>
      </c>
      <c r="G35" s="21"/>
      <c r="H35" s="12"/>
      <c r="I35" s="12"/>
      <c r="J35" s="12"/>
      <c r="K35" s="18"/>
      <c r="M35" s="19">
        <v>3648350</v>
      </c>
      <c r="N35" s="20"/>
      <c r="Q35" s="2"/>
      <c r="R35" s="2"/>
    </row>
    <row r="36" spans="1:18" ht="39" customHeight="1" x14ac:dyDescent="0.15">
      <c r="A36" s="12">
        <f t="shared" si="0"/>
        <v>30</v>
      </c>
      <c r="B36" s="13" t="s">
        <v>492</v>
      </c>
      <c r="C36" s="6">
        <v>5243954.92</v>
      </c>
      <c r="D36" s="14">
        <v>5571964.4500000002</v>
      </c>
      <c r="E36" s="15"/>
      <c r="F36" s="6" t="s">
        <v>464</v>
      </c>
      <c r="G36" s="16"/>
      <c r="H36" s="12"/>
      <c r="I36" s="12"/>
      <c r="J36" s="12"/>
      <c r="K36" s="18"/>
      <c r="M36" s="19">
        <v>8490788</v>
      </c>
      <c r="N36" s="20"/>
      <c r="Q36" s="2"/>
      <c r="R36" s="2"/>
    </row>
    <row r="37" spans="1:18" ht="39" customHeight="1" x14ac:dyDescent="0.15">
      <c r="A37" s="12">
        <f t="shared" si="0"/>
        <v>31</v>
      </c>
      <c r="B37" s="13" t="s">
        <v>493</v>
      </c>
      <c r="C37" s="6">
        <v>4685980.78</v>
      </c>
      <c r="D37" s="14">
        <v>3402480.74</v>
      </c>
      <c r="E37" s="15"/>
      <c r="F37" s="6" t="s">
        <v>464</v>
      </c>
      <c r="G37" s="12"/>
      <c r="H37" s="12"/>
      <c r="I37" s="12"/>
      <c r="J37" s="12"/>
      <c r="K37" s="18"/>
      <c r="M37" s="19">
        <v>6100000</v>
      </c>
      <c r="N37" s="20"/>
      <c r="Q37" s="2"/>
      <c r="R37" s="2"/>
    </row>
    <row r="38" spans="1:18" ht="39" customHeight="1" x14ac:dyDescent="0.15">
      <c r="A38" s="12">
        <f t="shared" si="0"/>
        <v>32</v>
      </c>
      <c r="B38" s="13" t="s">
        <v>494</v>
      </c>
      <c r="C38" s="6">
        <v>4488956</v>
      </c>
      <c r="D38" s="14">
        <v>0</v>
      </c>
      <c r="E38" s="15"/>
      <c r="F38" s="6" t="s">
        <v>837</v>
      </c>
      <c r="G38" s="16"/>
      <c r="H38" s="12"/>
      <c r="I38" s="12"/>
      <c r="J38" s="12"/>
      <c r="K38" s="18"/>
      <c r="M38" s="19">
        <v>2899600</v>
      </c>
      <c r="N38" s="20"/>
      <c r="Q38" s="2"/>
      <c r="R38" s="2"/>
    </row>
    <row r="39" spans="1:18" ht="39" customHeight="1" x14ac:dyDescent="0.15">
      <c r="A39" s="12">
        <f t="shared" si="0"/>
        <v>33</v>
      </c>
      <c r="B39" s="13" t="s">
        <v>495</v>
      </c>
      <c r="C39" s="6">
        <v>4306667.33</v>
      </c>
      <c r="D39" s="14">
        <v>4403913.83</v>
      </c>
      <c r="E39" s="15"/>
      <c r="F39" s="6" t="s">
        <v>462</v>
      </c>
      <c r="G39" s="21"/>
      <c r="H39" s="12"/>
      <c r="I39" s="12"/>
      <c r="J39" s="17"/>
      <c r="K39" s="18"/>
      <c r="M39" s="19">
        <v>5511720</v>
      </c>
      <c r="N39" s="20"/>
      <c r="Q39" s="2"/>
      <c r="R39" s="2"/>
    </row>
    <row r="40" spans="1:18" ht="39" customHeight="1" x14ac:dyDescent="0.15">
      <c r="A40" s="12">
        <f t="shared" si="0"/>
        <v>34</v>
      </c>
      <c r="B40" s="13" t="s">
        <v>496</v>
      </c>
      <c r="C40" s="6">
        <v>4226310</v>
      </c>
      <c r="D40" s="14">
        <v>3983230.92</v>
      </c>
      <c r="E40" s="15"/>
      <c r="F40" s="6" t="s">
        <v>462</v>
      </c>
      <c r="G40" s="21"/>
      <c r="H40" s="12"/>
      <c r="I40" s="12"/>
      <c r="J40" s="17"/>
      <c r="K40" s="18"/>
      <c r="M40" s="19">
        <v>14323880.18</v>
      </c>
      <c r="N40" s="20"/>
      <c r="Q40" s="2"/>
      <c r="R40" s="2"/>
    </row>
    <row r="41" spans="1:18" ht="39" customHeight="1" x14ac:dyDescent="0.15">
      <c r="A41" s="12">
        <f t="shared" si="0"/>
        <v>35</v>
      </c>
      <c r="B41" s="13" t="s">
        <v>497</v>
      </c>
      <c r="C41" s="6">
        <v>4050528.3400000003</v>
      </c>
      <c r="D41" s="14">
        <v>0</v>
      </c>
      <c r="E41" s="15"/>
      <c r="F41" s="6" t="s">
        <v>464</v>
      </c>
      <c r="G41" s="12"/>
      <c r="H41" s="12"/>
      <c r="I41" s="12"/>
      <c r="J41" s="12"/>
      <c r="K41" s="18"/>
      <c r="M41" s="19">
        <v>3404160</v>
      </c>
      <c r="N41" s="20"/>
      <c r="Q41" s="2"/>
      <c r="R41" s="2"/>
    </row>
    <row r="42" spans="1:18" ht="39" customHeight="1" x14ac:dyDescent="0.15">
      <c r="A42" s="12">
        <f t="shared" si="0"/>
        <v>36</v>
      </c>
      <c r="B42" s="13" t="s">
        <v>498</v>
      </c>
      <c r="C42" s="6">
        <v>4046750.72</v>
      </c>
      <c r="D42" s="14">
        <v>1832610.87</v>
      </c>
      <c r="E42" s="15"/>
      <c r="F42" s="6" t="s">
        <v>462</v>
      </c>
      <c r="G42" s="21"/>
      <c r="H42" s="12"/>
      <c r="I42" s="12"/>
      <c r="J42" s="12"/>
      <c r="K42" s="18"/>
      <c r="M42" s="19">
        <v>4350000</v>
      </c>
      <c r="N42" s="20"/>
      <c r="Q42" s="2"/>
      <c r="R42" s="2"/>
    </row>
    <row r="43" spans="1:18" ht="39" customHeight="1" x14ac:dyDescent="0.15">
      <c r="A43" s="12">
        <f t="shared" si="0"/>
        <v>37</v>
      </c>
      <c r="B43" s="13" t="s">
        <v>499</v>
      </c>
      <c r="C43" s="6">
        <v>3995065.9</v>
      </c>
      <c r="D43" s="14">
        <v>6738601.6400000006</v>
      </c>
      <c r="E43" s="15"/>
      <c r="F43" s="6" t="s">
        <v>464</v>
      </c>
      <c r="G43" s="16"/>
      <c r="H43" s="12"/>
      <c r="I43" s="12"/>
      <c r="J43" s="17"/>
      <c r="K43" s="18"/>
      <c r="M43" s="19">
        <v>4500000</v>
      </c>
      <c r="N43" s="20"/>
      <c r="Q43" s="2"/>
      <c r="R43" s="2"/>
    </row>
    <row r="44" spans="1:18" ht="39" customHeight="1" x14ac:dyDescent="0.15">
      <c r="A44" s="12">
        <f t="shared" si="0"/>
        <v>38</v>
      </c>
      <c r="B44" s="13" t="s">
        <v>500</v>
      </c>
      <c r="C44" s="6">
        <v>3977566.77</v>
      </c>
      <c r="D44" s="14">
        <v>2896836.4</v>
      </c>
      <c r="E44" s="15"/>
      <c r="F44" s="6" t="s">
        <v>464</v>
      </c>
      <c r="G44" s="21"/>
      <c r="H44" s="12"/>
      <c r="I44" s="12"/>
      <c r="J44" s="12"/>
      <c r="K44" s="18"/>
      <c r="M44" s="19">
        <v>5002277</v>
      </c>
      <c r="N44" s="20"/>
      <c r="Q44" s="2"/>
      <c r="R44" s="2"/>
    </row>
    <row r="45" spans="1:18" ht="39" customHeight="1" x14ac:dyDescent="0.15">
      <c r="A45" s="12">
        <f t="shared" si="0"/>
        <v>39</v>
      </c>
      <c r="B45" s="13" t="s">
        <v>501</v>
      </c>
      <c r="C45" s="6">
        <v>3947510</v>
      </c>
      <c r="D45" s="14">
        <v>0</v>
      </c>
      <c r="E45" s="15"/>
      <c r="F45" s="6" t="s">
        <v>462</v>
      </c>
      <c r="G45" s="16"/>
      <c r="H45" s="12"/>
      <c r="I45" s="12"/>
      <c r="J45" s="12"/>
      <c r="K45" s="18"/>
      <c r="M45" s="19">
        <v>1550000</v>
      </c>
      <c r="N45" s="20"/>
      <c r="Q45" s="2"/>
      <c r="R45" s="2"/>
    </row>
    <row r="46" spans="1:18" ht="39" customHeight="1" x14ac:dyDescent="0.15">
      <c r="A46" s="12">
        <f t="shared" si="0"/>
        <v>40</v>
      </c>
      <c r="B46" s="13" t="s">
        <v>502</v>
      </c>
      <c r="C46" s="6">
        <v>3840500.31</v>
      </c>
      <c r="D46" s="14">
        <v>3840500.31</v>
      </c>
      <c r="E46" s="15"/>
      <c r="F46" s="6" t="s">
        <v>464</v>
      </c>
      <c r="G46" s="12"/>
      <c r="H46" s="12"/>
      <c r="I46" s="12"/>
      <c r="J46" s="12"/>
      <c r="K46" s="18"/>
      <c r="M46" s="19">
        <v>0</v>
      </c>
      <c r="N46" s="20"/>
      <c r="Q46" s="2"/>
      <c r="R46" s="2"/>
    </row>
    <row r="47" spans="1:18" ht="39" customHeight="1" x14ac:dyDescent="0.15">
      <c r="A47" s="12">
        <f t="shared" si="0"/>
        <v>41</v>
      </c>
      <c r="B47" s="13" t="s">
        <v>503</v>
      </c>
      <c r="C47" s="6">
        <v>3805888.46</v>
      </c>
      <c r="D47" s="14">
        <v>3543974.16</v>
      </c>
      <c r="E47" s="15"/>
      <c r="F47" s="6" t="s">
        <v>837</v>
      </c>
      <c r="G47" s="12"/>
      <c r="H47" s="12"/>
      <c r="I47" s="12"/>
      <c r="J47" s="12"/>
      <c r="K47" s="18"/>
      <c r="M47" s="19">
        <v>3543974</v>
      </c>
      <c r="N47" s="20"/>
      <c r="Q47" s="2"/>
      <c r="R47" s="2"/>
    </row>
    <row r="48" spans="1:18" ht="39" customHeight="1" x14ac:dyDescent="0.15">
      <c r="A48" s="12">
        <f t="shared" si="0"/>
        <v>42</v>
      </c>
      <c r="B48" s="13" t="s">
        <v>504</v>
      </c>
      <c r="C48" s="6">
        <v>3635520</v>
      </c>
      <c r="D48" s="14">
        <v>680000</v>
      </c>
      <c r="E48" s="8"/>
      <c r="F48" s="6" t="s">
        <v>837</v>
      </c>
      <c r="G48" s="21"/>
      <c r="H48" s="12"/>
      <c r="I48" s="12"/>
      <c r="J48" s="12"/>
      <c r="K48" s="18"/>
      <c r="M48" s="19">
        <v>1708600</v>
      </c>
      <c r="N48" s="20"/>
      <c r="Q48" s="2"/>
      <c r="R48" s="2"/>
    </row>
    <row r="49" spans="1:18" ht="39" customHeight="1" x14ac:dyDescent="0.15">
      <c r="A49" s="12">
        <f t="shared" si="0"/>
        <v>43</v>
      </c>
      <c r="B49" s="13" t="s">
        <v>505</v>
      </c>
      <c r="C49" s="6">
        <v>3453105.72</v>
      </c>
      <c r="D49" s="14">
        <v>488886.36</v>
      </c>
      <c r="E49" s="15"/>
      <c r="F49" s="6" t="s">
        <v>464</v>
      </c>
      <c r="G49" s="12"/>
      <c r="H49" s="12"/>
      <c r="I49" s="12"/>
      <c r="J49" s="12"/>
      <c r="K49" s="18"/>
      <c r="M49" s="19">
        <v>2861814</v>
      </c>
      <c r="N49" s="20"/>
      <c r="Q49" s="2"/>
      <c r="R49" s="2"/>
    </row>
    <row r="50" spans="1:18" ht="39" customHeight="1" x14ac:dyDescent="0.15">
      <c r="A50" s="12">
        <f t="shared" si="0"/>
        <v>44</v>
      </c>
      <c r="B50" s="13" t="s">
        <v>506</v>
      </c>
      <c r="C50" s="6">
        <v>3427710.7600000002</v>
      </c>
      <c r="D50" s="14">
        <v>2878676.4</v>
      </c>
      <c r="E50" s="15"/>
      <c r="F50" s="6" t="s">
        <v>462</v>
      </c>
      <c r="G50" s="16"/>
      <c r="H50" s="12"/>
      <c r="I50" s="12"/>
      <c r="J50" s="12"/>
      <c r="K50" s="18"/>
      <c r="M50" s="19">
        <v>4041720</v>
      </c>
      <c r="N50" s="20"/>
      <c r="Q50" s="2"/>
      <c r="R50" s="2"/>
    </row>
    <row r="51" spans="1:18" ht="39" customHeight="1" x14ac:dyDescent="0.15">
      <c r="A51" s="12">
        <f t="shared" si="0"/>
        <v>45</v>
      </c>
      <c r="B51" s="13" t="s">
        <v>507</v>
      </c>
      <c r="C51" s="6">
        <v>3363361.08</v>
      </c>
      <c r="D51" s="14">
        <v>1121450</v>
      </c>
      <c r="E51" s="15"/>
      <c r="F51" s="6" t="s">
        <v>464</v>
      </c>
      <c r="G51" s="12"/>
      <c r="H51" s="12"/>
      <c r="I51" s="12"/>
      <c r="J51" s="12"/>
      <c r="K51" s="18"/>
      <c r="M51" s="19">
        <v>10038024</v>
      </c>
      <c r="N51" s="20"/>
      <c r="Q51" s="2"/>
      <c r="R51" s="2"/>
    </row>
    <row r="52" spans="1:18" ht="39" customHeight="1" x14ac:dyDescent="0.15">
      <c r="A52" s="12">
        <f t="shared" si="0"/>
        <v>46</v>
      </c>
      <c r="B52" s="13" t="s">
        <v>508</v>
      </c>
      <c r="C52" s="6">
        <v>3332762.18</v>
      </c>
      <c r="D52" s="14">
        <v>1766391.31</v>
      </c>
      <c r="E52" s="15"/>
      <c r="F52" s="6" t="s">
        <v>462</v>
      </c>
      <c r="G52" s="21"/>
      <c r="H52" s="12"/>
      <c r="I52" s="12"/>
      <c r="J52" s="12"/>
      <c r="K52" s="18"/>
      <c r="M52" s="19">
        <v>4166391</v>
      </c>
      <c r="N52" s="20"/>
      <c r="Q52" s="2"/>
      <c r="R52" s="2"/>
    </row>
    <row r="53" spans="1:18" ht="39" customHeight="1" x14ac:dyDescent="0.15">
      <c r="A53" s="12">
        <f t="shared" si="0"/>
        <v>47</v>
      </c>
      <c r="B53" s="13" t="s">
        <v>509</v>
      </c>
      <c r="C53" s="6">
        <v>3294861.67</v>
      </c>
      <c r="D53" s="14">
        <v>922686.67</v>
      </c>
      <c r="E53" s="15"/>
      <c r="F53" s="6" t="s">
        <v>464</v>
      </c>
      <c r="G53" s="12"/>
      <c r="H53" s="12"/>
      <c r="I53" s="12"/>
      <c r="J53" s="17"/>
      <c r="K53" s="18"/>
      <c r="M53" s="19">
        <v>4782700</v>
      </c>
      <c r="N53" s="20"/>
      <c r="Q53" s="2"/>
      <c r="R53" s="2"/>
    </row>
    <row r="54" spans="1:18" ht="39" customHeight="1" x14ac:dyDescent="0.15">
      <c r="A54" s="12">
        <f t="shared" si="0"/>
        <v>48</v>
      </c>
      <c r="B54" s="13" t="s">
        <v>510</v>
      </c>
      <c r="C54" s="6">
        <v>3249716.15</v>
      </c>
      <c r="D54" s="14">
        <v>2044069.1500000001</v>
      </c>
      <c r="E54" s="15"/>
      <c r="F54" s="6" t="s">
        <v>464</v>
      </c>
      <c r="G54" s="21"/>
      <c r="H54" s="12"/>
      <c r="I54" s="12"/>
      <c r="J54" s="17"/>
      <c r="K54" s="18"/>
      <c r="M54" s="19">
        <v>2044068</v>
      </c>
      <c r="N54" s="20"/>
      <c r="Q54" s="2"/>
      <c r="R54" s="2"/>
    </row>
    <row r="55" spans="1:18" ht="39" customHeight="1" x14ac:dyDescent="0.15">
      <c r="A55" s="12">
        <f t="shared" si="0"/>
        <v>49</v>
      </c>
      <c r="B55" s="13" t="s">
        <v>511</v>
      </c>
      <c r="C55" s="6">
        <v>3195869.09</v>
      </c>
      <c r="D55" s="14">
        <v>2008034.09</v>
      </c>
      <c r="E55" s="15"/>
      <c r="F55" s="6" t="s">
        <v>462</v>
      </c>
      <c r="G55" s="16"/>
      <c r="H55" s="12"/>
      <c r="I55" s="12"/>
      <c r="J55" s="12"/>
      <c r="K55" s="18"/>
      <c r="M55" s="19">
        <v>2258000</v>
      </c>
      <c r="N55" s="20"/>
      <c r="Q55" s="2"/>
      <c r="R55" s="2"/>
    </row>
    <row r="56" spans="1:18" ht="39" customHeight="1" x14ac:dyDescent="0.15">
      <c r="A56" s="12">
        <f t="shared" si="0"/>
        <v>50</v>
      </c>
      <c r="B56" s="13" t="s">
        <v>512</v>
      </c>
      <c r="C56" s="6">
        <v>3084812.2</v>
      </c>
      <c r="D56" s="14">
        <v>3541836.14</v>
      </c>
      <c r="E56" s="15"/>
      <c r="F56" s="6" t="s">
        <v>462</v>
      </c>
      <c r="G56" s="12"/>
      <c r="H56" s="12"/>
      <c r="I56" s="12"/>
      <c r="J56" s="12"/>
      <c r="K56" s="18"/>
      <c r="M56" s="19">
        <v>445000</v>
      </c>
      <c r="N56" s="20"/>
      <c r="Q56" s="2"/>
      <c r="R56" s="2"/>
    </row>
    <row r="57" spans="1:18" ht="39" customHeight="1" x14ac:dyDescent="0.15">
      <c r="A57" s="12">
        <f t="shared" si="0"/>
        <v>51</v>
      </c>
      <c r="B57" s="13" t="s">
        <v>513</v>
      </c>
      <c r="C57" s="6">
        <v>2983888.8000000003</v>
      </c>
      <c r="D57" s="14">
        <v>1424450.81</v>
      </c>
      <c r="E57" s="15"/>
      <c r="F57" s="6" t="s">
        <v>462</v>
      </c>
      <c r="G57" s="21"/>
      <c r="H57" s="12"/>
      <c r="I57" s="12"/>
      <c r="J57" s="17"/>
      <c r="K57" s="18"/>
      <c r="M57" s="19">
        <v>2075160</v>
      </c>
      <c r="N57" s="20"/>
      <c r="Q57" s="2"/>
      <c r="R57" s="2"/>
    </row>
    <row r="58" spans="1:18" ht="39" customHeight="1" x14ac:dyDescent="0.15">
      <c r="A58" s="12">
        <f t="shared" si="0"/>
        <v>52</v>
      </c>
      <c r="B58" s="13" t="s">
        <v>514</v>
      </c>
      <c r="C58" s="6">
        <v>2963810</v>
      </c>
      <c r="D58" s="14">
        <v>563542.27</v>
      </c>
      <c r="E58" s="15"/>
      <c r="F58" s="6" t="s">
        <v>462</v>
      </c>
      <c r="G58" s="21"/>
      <c r="H58" s="12"/>
      <c r="I58" s="12"/>
      <c r="J58" s="17"/>
      <c r="K58" s="18"/>
      <c r="M58" s="19">
        <v>885667.47</v>
      </c>
      <c r="N58" s="20"/>
      <c r="Q58" s="2"/>
      <c r="R58" s="2"/>
    </row>
    <row r="59" spans="1:18" ht="39" customHeight="1" x14ac:dyDescent="0.15">
      <c r="A59" s="12">
        <f t="shared" si="0"/>
        <v>53</v>
      </c>
      <c r="B59" s="13" t="s">
        <v>515</v>
      </c>
      <c r="C59" s="6">
        <v>2938642.13</v>
      </c>
      <c r="D59" s="14">
        <v>2170595.0099999998</v>
      </c>
      <c r="E59" s="15"/>
      <c r="F59" s="6" t="s">
        <v>464</v>
      </c>
      <c r="G59" s="16"/>
      <c r="H59" s="12"/>
      <c r="I59" s="12"/>
      <c r="J59" s="12"/>
      <c r="K59" s="18"/>
      <c r="M59" s="19">
        <v>2200000</v>
      </c>
      <c r="N59" s="20"/>
      <c r="Q59" s="2"/>
      <c r="R59" s="2"/>
    </row>
    <row r="60" spans="1:18" ht="39" customHeight="1" x14ac:dyDescent="0.15">
      <c r="A60" s="12">
        <f t="shared" si="0"/>
        <v>54</v>
      </c>
      <c r="B60" s="13" t="s">
        <v>516</v>
      </c>
      <c r="C60" s="6">
        <v>2884355</v>
      </c>
      <c r="D60" s="14">
        <v>0</v>
      </c>
      <c r="E60" s="15"/>
      <c r="F60" s="6" t="s">
        <v>464</v>
      </c>
      <c r="G60" s="21"/>
      <c r="H60" s="12"/>
      <c r="I60" s="12"/>
      <c r="J60" s="17"/>
      <c r="K60" s="18"/>
      <c r="M60" s="19">
        <v>1380000</v>
      </c>
      <c r="N60" s="20"/>
      <c r="Q60" s="2"/>
      <c r="R60" s="2"/>
    </row>
    <row r="61" spans="1:18" ht="39" customHeight="1" x14ac:dyDescent="0.15">
      <c r="A61" s="12">
        <f t="shared" si="0"/>
        <v>55</v>
      </c>
      <c r="B61" s="13" t="s">
        <v>517</v>
      </c>
      <c r="C61" s="6">
        <v>2851815.37</v>
      </c>
      <c r="D61" s="14">
        <v>3651815.37</v>
      </c>
      <c r="E61" s="15"/>
      <c r="F61" s="6" t="s">
        <v>462</v>
      </c>
      <c r="G61" s="21"/>
      <c r="H61" s="12"/>
      <c r="I61" s="12"/>
      <c r="J61" s="12"/>
      <c r="K61" s="18"/>
      <c r="M61" s="19">
        <v>800000</v>
      </c>
      <c r="N61" s="20"/>
      <c r="Q61" s="2"/>
      <c r="R61" s="2"/>
    </row>
    <row r="62" spans="1:18" ht="39" customHeight="1" x14ac:dyDescent="0.15">
      <c r="A62" s="12">
        <f t="shared" si="0"/>
        <v>56</v>
      </c>
      <c r="B62" s="13" t="s">
        <v>518</v>
      </c>
      <c r="C62" s="6">
        <v>2833150.91</v>
      </c>
      <c r="D62" s="14">
        <v>1988418</v>
      </c>
      <c r="E62" s="15"/>
      <c r="F62" s="6" t="s">
        <v>464</v>
      </c>
      <c r="G62" s="21"/>
      <c r="H62" s="12"/>
      <c r="I62" s="12"/>
      <c r="J62" s="12"/>
      <c r="K62" s="18"/>
      <c r="M62" s="19">
        <v>3794697</v>
      </c>
      <c r="N62" s="20"/>
      <c r="Q62" s="2"/>
      <c r="R62" s="2"/>
    </row>
    <row r="63" spans="1:18" ht="39" customHeight="1" x14ac:dyDescent="0.15">
      <c r="A63" s="12">
        <f t="shared" si="0"/>
        <v>57</v>
      </c>
      <c r="B63" s="13" t="s">
        <v>519</v>
      </c>
      <c r="C63" s="6">
        <v>2756137</v>
      </c>
      <c r="D63" s="14">
        <v>2754615</v>
      </c>
      <c r="E63" s="15"/>
      <c r="F63" s="6" t="s">
        <v>462</v>
      </c>
      <c r="G63" s="21"/>
      <c r="H63" s="12"/>
      <c r="I63" s="12"/>
      <c r="J63" s="12"/>
      <c r="K63" s="18"/>
      <c r="M63" s="19">
        <v>3904615</v>
      </c>
      <c r="N63" s="20"/>
      <c r="Q63" s="2"/>
      <c r="R63" s="2"/>
    </row>
    <row r="64" spans="1:18" ht="39" customHeight="1" x14ac:dyDescent="0.15">
      <c r="A64" s="12">
        <f t="shared" si="0"/>
        <v>58</v>
      </c>
      <c r="B64" s="13" t="s">
        <v>520</v>
      </c>
      <c r="C64" s="6">
        <v>2743097.2600000002</v>
      </c>
      <c r="D64" s="14">
        <v>2914480.15</v>
      </c>
      <c r="E64" s="15"/>
      <c r="F64" s="6" t="s">
        <v>464</v>
      </c>
      <c r="G64" s="12"/>
      <c r="H64" s="12"/>
      <c r="I64" s="12"/>
      <c r="J64" s="12"/>
      <c r="K64" s="18"/>
      <c r="M64" s="19">
        <v>4003593</v>
      </c>
      <c r="N64" s="20"/>
      <c r="Q64" s="2"/>
      <c r="R64" s="2"/>
    </row>
    <row r="65" spans="1:18" ht="39" customHeight="1" x14ac:dyDescent="0.15">
      <c r="A65" s="12">
        <f t="shared" si="0"/>
        <v>59</v>
      </c>
      <c r="B65" s="13" t="s">
        <v>521</v>
      </c>
      <c r="C65" s="6">
        <v>2728722.8000000003</v>
      </c>
      <c r="D65" s="14">
        <v>174767.89</v>
      </c>
      <c r="E65" s="15"/>
      <c r="F65" s="6" t="s">
        <v>462</v>
      </c>
      <c r="G65" s="21"/>
      <c r="H65" s="12"/>
      <c r="I65" s="12"/>
      <c r="J65" s="12"/>
      <c r="K65" s="18"/>
      <c r="M65" s="19">
        <v>1457080</v>
      </c>
      <c r="N65" s="20"/>
      <c r="Q65" s="2"/>
      <c r="R65" s="2"/>
    </row>
    <row r="66" spans="1:18" ht="39" customHeight="1" x14ac:dyDescent="0.15">
      <c r="A66" s="12">
        <f t="shared" si="0"/>
        <v>60</v>
      </c>
      <c r="B66" s="13" t="s">
        <v>522</v>
      </c>
      <c r="C66" s="6">
        <v>2691126.39</v>
      </c>
      <c r="D66" s="14">
        <v>5576135.6399999997</v>
      </c>
      <c r="E66" s="15"/>
      <c r="F66" s="6" t="s">
        <v>464</v>
      </c>
      <c r="G66" s="12"/>
      <c r="H66" s="12"/>
      <c r="I66" s="12"/>
      <c r="J66" s="12"/>
      <c r="K66" s="18"/>
      <c r="M66" s="19">
        <v>2720000</v>
      </c>
      <c r="N66" s="20"/>
      <c r="Q66" s="2"/>
      <c r="R66" s="2"/>
    </row>
    <row r="67" spans="1:18" ht="39" customHeight="1" x14ac:dyDescent="0.15">
      <c r="A67" s="12">
        <f t="shared" si="0"/>
        <v>61</v>
      </c>
      <c r="B67" s="13" t="s">
        <v>523</v>
      </c>
      <c r="C67" s="6">
        <v>2611834.7999999998</v>
      </c>
      <c r="D67" s="14">
        <v>1214390.8</v>
      </c>
      <c r="E67" s="15"/>
      <c r="F67" s="6" t="s">
        <v>462</v>
      </c>
      <c r="G67" s="21"/>
      <c r="H67" s="12"/>
      <c r="I67" s="12"/>
      <c r="J67" s="12"/>
      <c r="K67" s="18"/>
      <c r="M67" s="19">
        <v>2014390</v>
      </c>
      <c r="N67" s="20"/>
      <c r="Q67" s="2"/>
      <c r="R67" s="2"/>
    </row>
    <row r="68" spans="1:18" ht="39" customHeight="1" x14ac:dyDescent="0.15">
      <c r="A68" s="12">
        <f t="shared" si="0"/>
        <v>62</v>
      </c>
      <c r="B68" s="13" t="s">
        <v>524</v>
      </c>
      <c r="C68" s="6">
        <v>2601630.48</v>
      </c>
      <c r="D68" s="14">
        <v>3737859.99</v>
      </c>
      <c r="E68" s="15"/>
      <c r="F68" s="6" t="s">
        <v>462</v>
      </c>
      <c r="G68" s="21"/>
      <c r="H68" s="12"/>
      <c r="I68" s="12"/>
      <c r="J68" s="12"/>
      <c r="K68" s="18"/>
      <c r="M68" s="19">
        <v>4058760</v>
      </c>
      <c r="N68" s="20"/>
      <c r="Q68" s="2"/>
      <c r="R68" s="2"/>
    </row>
    <row r="69" spans="1:18" ht="39" customHeight="1" x14ac:dyDescent="0.15">
      <c r="A69" s="12">
        <f t="shared" si="0"/>
        <v>63</v>
      </c>
      <c r="B69" s="13" t="s">
        <v>525</v>
      </c>
      <c r="C69" s="6">
        <v>2556603.75</v>
      </c>
      <c r="D69" s="14">
        <v>1680132.45</v>
      </c>
      <c r="E69" s="15"/>
      <c r="F69" s="6" t="s">
        <v>464</v>
      </c>
      <c r="G69" s="12"/>
      <c r="H69" s="12"/>
      <c r="I69" s="12"/>
      <c r="J69" s="17"/>
      <c r="K69" s="18"/>
      <c r="M69" s="19">
        <v>4908400</v>
      </c>
      <c r="N69" s="20"/>
      <c r="Q69" s="2"/>
      <c r="R69" s="2"/>
    </row>
    <row r="70" spans="1:18" ht="39" customHeight="1" x14ac:dyDescent="0.15">
      <c r="A70" s="12">
        <f t="shared" si="0"/>
        <v>64</v>
      </c>
      <c r="B70" s="13" t="s">
        <v>526</v>
      </c>
      <c r="C70" s="6">
        <v>2514520</v>
      </c>
      <c r="D70" s="14">
        <v>2653965</v>
      </c>
      <c r="E70" s="15"/>
      <c r="F70" s="6" t="s">
        <v>462</v>
      </c>
      <c r="G70" s="21"/>
      <c r="H70" s="12"/>
      <c r="I70" s="12"/>
      <c r="J70" s="12"/>
      <c r="K70" s="18"/>
      <c r="M70" s="19">
        <v>3785439.5700000003</v>
      </c>
      <c r="N70" s="20"/>
      <c r="Q70" s="2"/>
      <c r="R70" s="2"/>
    </row>
    <row r="71" spans="1:18" ht="39" customHeight="1" x14ac:dyDescent="0.15">
      <c r="A71" s="12">
        <f t="shared" si="0"/>
        <v>65</v>
      </c>
      <c r="B71" s="13" t="s">
        <v>527</v>
      </c>
      <c r="C71" s="6">
        <v>2475202</v>
      </c>
      <c r="D71" s="14">
        <v>1632400</v>
      </c>
      <c r="E71" s="15"/>
      <c r="F71" s="6" t="s">
        <v>464</v>
      </c>
      <c r="G71" s="12"/>
      <c r="H71" s="12"/>
      <c r="I71" s="12"/>
      <c r="J71" s="12"/>
      <c r="K71" s="18"/>
      <c r="M71" s="19">
        <v>1632400</v>
      </c>
      <c r="N71" s="20"/>
      <c r="Q71" s="2"/>
      <c r="R71" s="2"/>
    </row>
    <row r="72" spans="1:18" ht="39" customHeight="1" x14ac:dyDescent="0.15">
      <c r="A72" s="12">
        <f t="shared" si="0"/>
        <v>66</v>
      </c>
      <c r="B72" s="13" t="s">
        <v>528</v>
      </c>
      <c r="C72" s="6">
        <v>2352268.46</v>
      </c>
      <c r="D72" s="14">
        <v>0</v>
      </c>
      <c r="E72" s="15"/>
      <c r="F72" s="6" t="s">
        <v>462</v>
      </c>
      <c r="G72" s="16"/>
      <c r="H72" s="12"/>
      <c r="I72" s="12"/>
      <c r="J72" s="12"/>
      <c r="K72" s="18"/>
      <c r="M72" s="19">
        <v>2150000</v>
      </c>
      <c r="N72" s="20"/>
      <c r="Q72" s="2"/>
      <c r="R72" s="2"/>
    </row>
    <row r="73" spans="1:18" ht="39" customHeight="1" x14ac:dyDescent="0.15">
      <c r="A73" s="12">
        <f t="shared" si="0"/>
        <v>67</v>
      </c>
      <c r="B73" s="13" t="s">
        <v>529</v>
      </c>
      <c r="C73" s="6">
        <v>2323007.81</v>
      </c>
      <c r="D73" s="14">
        <v>2373007.81</v>
      </c>
      <c r="E73" s="8" t="s">
        <v>530</v>
      </c>
      <c r="G73" s="21"/>
      <c r="H73" s="12"/>
      <c r="I73" s="12"/>
      <c r="J73" s="12"/>
      <c r="K73" s="18"/>
      <c r="M73" s="19">
        <v>50000</v>
      </c>
      <c r="N73" s="20"/>
      <c r="Q73" s="2"/>
      <c r="R73" s="2"/>
    </row>
    <row r="74" spans="1:18" ht="39" customHeight="1" x14ac:dyDescent="0.15">
      <c r="A74" s="12">
        <f t="shared" si="0"/>
        <v>68</v>
      </c>
      <c r="B74" s="13" t="s">
        <v>531</v>
      </c>
      <c r="C74" s="6">
        <v>2261903.35</v>
      </c>
      <c r="D74" s="14">
        <v>2361850.35</v>
      </c>
      <c r="E74" s="15"/>
      <c r="F74" s="6" t="s">
        <v>464</v>
      </c>
      <c r="G74" s="21"/>
      <c r="H74" s="12"/>
      <c r="I74" s="12"/>
      <c r="J74" s="12"/>
      <c r="K74" s="18"/>
      <c r="M74" s="19">
        <v>375000</v>
      </c>
      <c r="N74" s="20"/>
      <c r="Q74" s="2"/>
      <c r="R74" s="2"/>
    </row>
    <row r="75" spans="1:18" ht="39" customHeight="1" x14ac:dyDescent="0.15">
      <c r="A75" s="12">
        <f t="shared" si="0"/>
        <v>69</v>
      </c>
      <c r="B75" s="13" t="s">
        <v>532</v>
      </c>
      <c r="C75" s="6">
        <v>2261575.91</v>
      </c>
      <c r="D75" s="14">
        <v>0.91</v>
      </c>
      <c r="E75" s="15"/>
      <c r="F75" s="6" t="s">
        <v>462</v>
      </c>
      <c r="G75" s="21"/>
      <c r="H75" s="12"/>
      <c r="I75" s="12"/>
      <c r="J75" s="12"/>
      <c r="K75" s="18"/>
      <c r="M75" s="19">
        <v>0</v>
      </c>
      <c r="N75" s="20"/>
      <c r="Q75" s="2"/>
      <c r="R75" s="2"/>
    </row>
    <row r="76" spans="1:18" ht="39" customHeight="1" x14ac:dyDescent="0.15">
      <c r="A76" s="12">
        <f t="shared" si="0"/>
        <v>70</v>
      </c>
      <c r="B76" s="13" t="s">
        <v>533</v>
      </c>
      <c r="C76" s="6">
        <v>2194680</v>
      </c>
      <c r="D76" s="14">
        <v>369191.16000000003</v>
      </c>
      <c r="E76" s="15"/>
      <c r="F76" s="6" t="s">
        <v>462</v>
      </c>
      <c r="G76" s="21"/>
      <c r="H76" s="12"/>
      <c r="I76" s="12"/>
      <c r="J76" s="12"/>
      <c r="K76" s="18"/>
      <c r="M76" s="19">
        <v>1689835</v>
      </c>
      <c r="N76" s="20"/>
      <c r="Q76" s="2"/>
      <c r="R76" s="2"/>
    </row>
    <row r="77" spans="1:18" ht="39" customHeight="1" x14ac:dyDescent="0.15">
      <c r="A77" s="12">
        <f t="shared" si="0"/>
        <v>71</v>
      </c>
      <c r="B77" s="13" t="s">
        <v>534</v>
      </c>
      <c r="C77" s="6">
        <v>2169709.89</v>
      </c>
      <c r="D77" s="14">
        <v>1498125.28</v>
      </c>
      <c r="E77" s="15"/>
      <c r="F77" s="6" t="s">
        <v>462</v>
      </c>
      <c r="G77" s="12"/>
      <c r="H77" s="12"/>
      <c r="I77" s="12"/>
      <c r="J77" s="12"/>
      <c r="K77" s="18"/>
      <c r="M77" s="19">
        <v>2172173</v>
      </c>
      <c r="N77" s="20"/>
      <c r="Q77" s="2"/>
      <c r="R77" s="2"/>
    </row>
    <row r="78" spans="1:18" ht="39" customHeight="1" x14ac:dyDescent="0.15">
      <c r="A78" s="12">
        <f t="shared" si="0"/>
        <v>72</v>
      </c>
      <c r="B78" s="13" t="s">
        <v>535</v>
      </c>
      <c r="C78" s="6">
        <v>2091851</v>
      </c>
      <c r="D78" s="14">
        <v>2091851</v>
      </c>
      <c r="E78" s="8" t="s">
        <v>530</v>
      </c>
      <c r="F78" s="6"/>
      <c r="G78" s="12"/>
      <c r="H78" s="12"/>
      <c r="I78" s="12"/>
      <c r="J78" s="12"/>
      <c r="K78" s="18"/>
      <c r="M78" s="19">
        <v>0</v>
      </c>
      <c r="N78" s="20"/>
      <c r="Q78" s="2"/>
      <c r="R78" s="2"/>
    </row>
    <row r="79" spans="1:18" ht="39" customHeight="1" x14ac:dyDescent="0.15">
      <c r="A79" s="12">
        <f t="shared" si="0"/>
        <v>73</v>
      </c>
      <c r="B79" s="13" t="s">
        <v>536</v>
      </c>
      <c r="C79" s="6">
        <v>2090019.4100000001</v>
      </c>
      <c r="D79" s="14">
        <v>99500.180000000008</v>
      </c>
      <c r="E79" s="15"/>
      <c r="F79" s="6" t="s">
        <v>462</v>
      </c>
      <c r="G79" s="16"/>
      <c r="H79" s="12"/>
      <c r="I79" s="12"/>
      <c r="J79" s="12"/>
      <c r="K79" s="18"/>
      <c r="M79" s="19">
        <v>1784077</v>
      </c>
      <c r="N79" s="20"/>
      <c r="Q79" s="2"/>
      <c r="R79" s="2"/>
    </row>
    <row r="80" spans="1:18" ht="39" customHeight="1" x14ac:dyDescent="0.15">
      <c r="A80" s="12">
        <f t="shared" si="0"/>
        <v>74</v>
      </c>
      <c r="B80" s="13" t="s">
        <v>537</v>
      </c>
      <c r="C80" s="6">
        <v>2069060.56</v>
      </c>
      <c r="D80" s="14">
        <v>2412843.58</v>
      </c>
      <c r="E80" s="15"/>
      <c r="F80" s="6" t="s">
        <v>462</v>
      </c>
      <c r="G80" s="21"/>
      <c r="H80" s="12"/>
      <c r="I80" s="12"/>
      <c r="J80" s="12"/>
      <c r="K80" s="18"/>
      <c r="M80" s="19">
        <v>3716000</v>
      </c>
      <c r="N80" s="20"/>
      <c r="Q80" s="2"/>
      <c r="R80" s="2"/>
    </row>
    <row r="81" spans="1:18" ht="39" customHeight="1" x14ac:dyDescent="0.15">
      <c r="A81" s="12">
        <f t="shared" si="0"/>
        <v>75</v>
      </c>
      <c r="B81" s="13" t="s">
        <v>538</v>
      </c>
      <c r="C81" s="6">
        <v>2068623.6700000002</v>
      </c>
      <c r="D81" s="14">
        <v>2518811.48</v>
      </c>
      <c r="E81" s="8"/>
      <c r="F81" s="6" t="s">
        <v>837</v>
      </c>
      <c r="G81" s="21"/>
      <c r="H81" s="12"/>
      <c r="I81" s="12"/>
      <c r="J81" s="12"/>
      <c r="K81" s="18"/>
      <c r="M81" s="19">
        <v>400000</v>
      </c>
      <c r="N81" s="20"/>
      <c r="Q81" s="2"/>
      <c r="R81" s="2"/>
    </row>
    <row r="82" spans="1:18" ht="39" customHeight="1" x14ac:dyDescent="0.15">
      <c r="A82" s="12">
        <f t="shared" si="0"/>
        <v>76</v>
      </c>
      <c r="B82" s="13" t="s">
        <v>539</v>
      </c>
      <c r="C82" s="6">
        <v>2068599.32</v>
      </c>
      <c r="D82" s="14">
        <v>2185364.61</v>
      </c>
      <c r="E82" s="15"/>
      <c r="F82" s="6" t="s">
        <v>462</v>
      </c>
      <c r="G82" s="12"/>
      <c r="H82" s="12"/>
      <c r="I82" s="12"/>
      <c r="J82" s="17"/>
      <c r="K82" s="18"/>
      <c r="M82" s="19">
        <v>2950000</v>
      </c>
      <c r="N82" s="20"/>
      <c r="Q82" s="2"/>
      <c r="R82" s="2"/>
    </row>
    <row r="83" spans="1:18" ht="39" customHeight="1" x14ac:dyDescent="0.15">
      <c r="A83" s="12">
        <f t="shared" si="0"/>
        <v>77</v>
      </c>
      <c r="B83" s="13" t="s">
        <v>540</v>
      </c>
      <c r="C83" s="6">
        <v>2050800.04</v>
      </c>
      <c r="D83" s="14">
        <v>2352696.41</v>
      </c>
      <c r="E83" s="15"/>
      <c r="F83" s="6" t="s">
        <v>462</v>
      </c>
      <c r="G83" s="21"/>
      <c r="H83" s="12"/>
      <c r="I83" s="12"/>
      <c r="J83" s="12"/>
      <c r="K83" s="18"/>
      <c r="M83" s="19">
        <v>4044416</v>
      </c>
      <c r="N83" s="20"/>
      <c r="Q83" s="2"/>
      <c r="R83" s="2"/>
    </row>
    <row r="84" spans="1:18" ht="39" customHeight="1" x14ac:dyDescent="0.15">
      <c r="A84" s="12">
        <f t="shared" si="0"/>
        <v>78</v>
      </c>
      <c r="B84" s="13" t="s">
        <v>541</v>
      </c>
      <c r="C84" s="6">
        <v>1995421.06</v>
      </c>
      <c r="D84" s="14">
        <v>763071.06</v>
      </c>
      <c r="E84" s="15"/>
      <c r="F84" s="6" t="s">
        <v>462</v>
      </c>
      <c r="G84" s="12"/>
      <c r="H84" s="12"/>
      <c r="I84" s="12"/>
      <c r="J84" s="17"/>
      <c r="K84" s="18"/>
      <c r="M84" s="19">
        <v>1817000</v>
      </c>
      <c r="N84" s="20"/>
      <c r="Q84" s="2"/>
      <c r="R84" s="2"/>
    </row>
    <row r="85" spans="1:18" ht="39" customHeight="1" x14ac:dyDescent="0.15">
      <c r="A85" s="12">
        <f t="shared" si="0"/>
        <v>79</v>
      </c>
      <c r="B85" s="13" t="s">
        <v>542</v>
      </c>
      <c r="C85" s="6">
        <v>1994323.95</v>
      </c>
      <c r="D85" s="14">
        <v>2142030.4500000002</v>
      </c>
      <c r="E85" s="15"/>
      <c r="F85" s="6" t="s">
        <v>462</v>
      </c>
      <c r="G85" s="21"/>
      <c r="H85" s="12"/>
      <c r="I85" s="12"/>
      <c r="J85" s="12"/>
      <c r="K85" s="18"/>
      <c r="M85" s="19">
        <v>2100000</v>
      </c>
      <c r="N85" s="20"/>
      <c r="Q85" s="2"/>
      <c r="R85" s="2"/>
    </row>
    <row r="86" spans="1:18" ht="39" customHeight="1" x14ac:dyDescent="0.15">
      <c r="A86" s="12">
        <f t="shared" si="0"/>
        <v>80</v>
      </c>
      <c r="B86" s="13" t="s">
        <v>543</v>
      </c>
      <c r="C86" s="6">
        <v>1977079.93</v>
      </c>
      <c r="D86" s="14">
        <v>2672079.9300000002</v>
      </c>
      <c r="E86" s="15"/>
      <c r="F86" s="6" t="s">
        <v>464</v>
      </c>
      <c r="G86" s="12"/>
      <c r="H86" s="12"/>
      <c r="I86" s="12"/>
      <c r="J86" s="12"/>
      <c r="K86" s="18"/>
      <c r="M86" s="19">
        <v>695000</v>
      </c>
      <c r="N86" s="20"/>
      <c r="Q86" s="2"/>
      <c r="R86" s="2"/>
    </row>
    <row r="87" spans="1:18" ht="39" customHeight="1" x14ac:dyDescent="0.15">
      <c r="A87" s="12">
        <f t="shared" si="0"/>
        <v>81</v>
      </c>
      <c r="B87" s="13" t="s">
        <v>544</v>
      </c>
      <c r="C87" s="6">
        <v>1968589.6</v>
      </c>
      <c r="D87" s="14">
        <v>2256841.61</v>
      </c>
      <c r="E87" s="15"/>
      <c r="F87" s="6" t="s">
        <v>462</v>
      </c>
      <c r="G87" s="21"/>
      <c r="H87" s="12"/>
      <c r="I87" s="12"/>
      <c r="J87" s="17"/>
      <c r="K87" s="18"/>
      <c r="M87" s="19">
        <v>2657000</v>
      </c>
      <c r="N87" s="20"/>
      <c r="Q87" s="2"/>
      <c r="R87" s="2"/>
    </row>
    <row r="88" spans="1:18" ht="39" customHeight="1" x14ac:dyDescent="0.15">
      <c r="A88" s="12">
        <f t="shared" si="0"/>
        <v>82</v>
      </c>
      <c r="B88" s="13" t="s">
        <v>545</v>
      </c>
      <c r="C88" s="6">
        <v>1899600.1600000001</v>
      </c>
      <c r="D88" s="14">
        <v>935540.16</v>
      </c>
      <c r="E88" s="15"/>
      <c r="F88" s="6" t="s">
        <v>462</v>
      </c>
      <c r="G88" s="21"/>
      <c r="H88" s="12"/>
      <c r="I88" s="12"/>
      <c r="J88" s="12"/>
      <c r="K88" s="18"/>
      <c r="M88" s="19">
        <v>1179820</v>
      </c>
      <c r="N88" s="20"/>
      <c r="Q88" s="2"/>
      <c r="R88" s="2"/>
    </row>
    <row r="89" spans="1:18" ht="39" customHeight="1" x14ac:dyDescent="0.15">
      <c r="A89" s="12">
        <f t="shared" si="0"/>
        <v>83</v>
      </c>
      <c r="B89" s="13" t="s">
        <v>546</v>
      </c>
      <c r="C89" s="6">
        <v>1889012.58</v>
      </c>
      <c r="D89" s="14">
        <v>3174865.22</v>
      </c>
      <c r="E89" s="15"/>
      <c r="F89" s="6" t="s">
        <v>462</v>
      </c>
      <c r="G89" s="21"/>
      <c r="H89" s="12"/>
      <c r="I89" s="12"/>
      <c r="J89" s="12"/>
      <c r="K89" s="18"/>
      <c r="M89" s="19">
        <v>492000</v>
      </c>
      <c r="N89" s="20"/>
      <c r="Q89" s="2"/>
      <c r="R89" s="2"/>
    </row>
    <row r="90" spans="1:18" ht="39" customHeight="1" x14ac:dyDescent="0.15">
      <c r="A90" s="12">
        <f t="shared" si="0"/>
        <v>84</v>
      </c>
      <c r="B90" s="13" t="s">
        <v>547</v>
      </c>
      <c r="C90" s="6">
        <v>1857288</v>
      </c>
      <c r="D90" s="14">
        <v>1147588</v>
      </c>
      <c r="E90" s="15"/>
      <c r="F90" s="6" t="s">
        <v>462</v>
      </c>
      <c r="G90" s="12"/>
      <c r="H90" s="12"/>
      <c r="I90" s="12"/>
      <c r="J90" s="12"/>
      <c r="K90" s="18"/>
      <c r="M90" s="19">
        <v>1145000</v>
      </c>
      <c r="N90" s="20"/>
      <c r="Q90" s="2"/>
      <c r="R90" s="2"/>
    </row>
    <row r="91" spans="1:18" ht="39" customHeight="1" x14ac:dyDescent="0.15">
      <c r="A91" s="12">
        <f t="shared" si="0"/>
        <v>85</v>
      </c>
      <c r="B91" s="13" t="s">
        <v>548</v>
      </c>
      <c r="C91" s="6">
        <v>1785840.81</v>
      </c>
      <c r="D91" s="14">
        <v>594278.69999999995</v>
      </c>
      <c r="E91" s="15"/>
      <c r="F91" s="6" t="s">
        <v>464</v>
      </c>
      <c r="G91" s="21"/>
      <c r="H91" s="12"/>
      <c r="I91" s="12"/>
      <c r="J91" s="17"/>
      <c r="K91" s="18"/>
      <c r="M91" s="19">
        <v>2734378</v>
      </c>
      <c r="N91" s="20"/>
      <c r="Q91" s="2"/>
      <c r="R91" s="2"/>
    </row>
    <row r="92" spans="1:18" ht="39" customHeight="1" x14ac:dyDescent="0.15">
      <c r="A92" s="12">
        <f t="shared" si="0"/>
        <v>86</v>
      </c>
      <c r="B92" s="13" t="s">
        <v>549</v>
      </c>
      <c r="C92" s="6">
        <v>1733094.45</v>
      </c>
      <c r="D92" s="14">
        <v>62900</v>
      </c>
      <c r="E92" s="15"/>
      <c r="F92" s="6" t="s">
        <v>462</v>
      </c>
      <c r="G92" s="21"/>
      <c r="H92" s="12"/>
      <c r="I92" s="12"/>
      <c r="J92" s="17"/>
      <c r="K92" s="18"/>
      <c r="M92" s="19">
        <v>812900</v>
      </c>
      <c r="N92" s="20"/>
      <c r="Q92" s="2"/>
      <c r="R92" s="2"/>
    </row>
    <row r="93" spans="1:18" ht="39" customHeight="1" x14ac:dyDescent="0.15">
      <c r="A93" s="12">
        <f t="shared" si="0"/>
        <v>87</v>
      </c>
      <c r="B93" s="13" t="s">
        <v>550</v>
      </c>
      <c r="C93" s="6">
        <v>1685529</v>
      </c>
      <c r="D93" s="14">
        <v>1735529</v>
      </c>
      <c r="E93" s="15"/>
      <c r="F93" s="6" t="s">
        <v>464</v>
      </c>
      <c r="G93" s="21"/>
      <c r="H93" s="12"/>
      <c r="I93" s="12"/>
      <c r="J93" s="12"/>
      <c r="K93" s="18"/>
      <c r="M93" s="19">
        <v>50000</v>
      </c>
      <c r="N93" s="20"/>
      <c r="Q93" s="2"/>
      <c r="R93" s="2"/>
    </row>
    <row r="94" spans="1:18" ht="39" customHeight="1" x14ac:dyDescent="0.15">
      <c r="A94" s="12">
        <f t="shared" si="0"/>
        <v>88</v>
      </c>
      <c r="B94" s="13" t="s">
        <v>551</v>
      </c>
      <c r="C94" s="6">
        <v>1669608.25</v>
      </c>
      <c r="D94" s="14">
        <v>1239010.75</v>
      </c>
      <c r="E94" s="15"/>
      <c r="F94" s="6" t="s">
        <v>464</v>
      </c>
      <c r="G94" s="12"/>
      <c r="H94" s="12"/>
      <c r="I94" s="12"/>
      <c r="J94" s="12"/>
      <c r="K94" s="18"/>
      <c r="M94" s="19">
        <v>2219010</v>
      </c>
      <c r="N94" s="20"/>
      <c r="Q94" s="2"/>
      <c r="R94" s="2"/>
    </row>
    <row r="95" spans="1:18" ht="39" customHeight="1" x14ac:dyDescent="0.15">
      <c r="A95" s="12">
        <f t="shared" si="0"/>
        <v>89</v>
      </c>
      <c r="B95" s="13" t="s">
        <v>552</v>
      </c>
      <c r="C95" s="6">
        <v>1618955.27</v>
      </c>
      <c r="D95" s="14">
        <v>1050964.98</v>
      </c>
      <c r="E95" s="15"/>
      <c r="F95" s="6" t="s">
        <v>462</v>
      </c>
      <c r="G95" s="21"/>
      <c r="H95" s="12"/>
      <c r="I95" s="12"/>
      <c r="J95" s="12"/>
      <c r="K95" s="18"/>
      <c r="M95" s="19">
        <v>1200000</v>
      </c>
      <c r="N95" s="20"/>
      <c r="Q95" s="2"/>
      <c r="R95" s="2"/>
    </row>
    <row r="96" spans="1:18" ht="39" customHeight="1" x14ac:dyDescent="0.15">
      <c r="A96" s="12">
        <f t="shared" si="0"/>
        <v>90</v>
      </c>
      <c r="B96" s="13" t="s">
        <v>553</v>
      </c>
      <c r="C96" s="6">
        <v>1598134.22</v>
      </c>
      <c r="D96" s="14">
        <v>1510472.8</v>
      </c>
      <c r="E96" s="15"/>
      <c r="F96" s="6" t="s">
        <v>462</v>
      </c>
      <c r="G96" s="21"/>
      <c r="H96" s="12"/>
      <c r="I96" s="12"/>
      <c r="J96" s="12"/>
      <c r="K96" s="18"/>
      <c r="M96" s="19">
        <v>2660500</v>
      </c>
      <c r="N96" s="20"/>
      <c r="Q96" s="2"/>
      <c r="R96" s="2"/>
    </row>
    <row r="97" spans="1:18" ht="39" customHeight="1" x14ac:dyDescent="0.15">
      <c r="A97" s="12">
        <f t="shared" si="0"/>
        <v>91</v>
      </c>
      <c r="B97" s="13" t="s">
        <v>554</v>
      </c>
      <c r="C97" s="6">
        <v>1575140.96</v>
      </c>
      <c r="D97" s="14">
        <v>1661140.96</v>
      </c>
      <c r="E97" s="15"/>
      <c r="F97" s="6" t="s">
        <v>464</v>
      </c>
      <c r="G97" s="21"/>
      <c r="H97" s="12"/>
      <c r="I97" s="12"/>
      <c r="J97" s="12"/>
      <c r="K97" s="18"/>
      <c r="M97" s="19">
        <v>86000</v>
      </c>
      <c r="N97" s="20"/>
      <c r="Q97" s="2"/>
      <c r="R97" s="2"/>
    </row>
    <row r="98" spans="1:18" ht="39" customHeight="1" x14ac:dyDescent="0.15">
      <c r="A98" s="12">
        <f t="shared" si="0"/>
        <v>92</v>
      </c>
      <c r="B98" s="13" t="s">
        <v>555</v>
      </c>
      <c r="C98" s="6">
        <v>1557697.16</v>
      </c>
      <c r="D98" s="14">
        <v>2467697.16</v>
      </c>
      <c r="E98" s="15"/>
      <c r="F98" s="6" t="s">
        <v>464</v>
      </c>
      <c r="G98" s="21"/>
      <c r="H98" s="12"/>
      <c r="I98" s="12"/>
      <c r="J98" s="12"/>
      <c r="K98" s="18"/>
      <c r="M98" s="19">
        <v>910000</v>
      </c>
      <c r="N98" s="20"/>
      <c r="Q98" s="2"/>
      <c r="R98" s="2"/>
    </row>
    <row r="99" spans="1:18" ht="39" customHeight="1" x14ac:dyDescent="0.15">
      <c r="A99" s="12">
        <f t="shared" si="0"/>
        <v>93</v>
      </c>
      <c r="B99" s="13" t="s">
        <v>556</v>
      </c>
      <c r="C99" s="6">
        <v>1544239.23</v>
      </c>
      <c r="D99" s="14">
        <v>994728.61</v>
      </c>
      <c r="E99" s="15"/>
      <c r="F99" s="6" t="s">
        <v>464</v>
      </c>
      <c r="G99" s="21"/>
      <c r="H99" s="12"/>
      <c r="I99" s="12"/>
      <c r="J99" s="12"/>
      <c r="K99" s="18"/>
      <c r="M99" s="19">
        <v>1910377</v>
      </c>
      <c r="N99" s="20"/>
      <c r="Q99" s="2"/>
      <c r="R99" s="2"/>
    </row>
    <row r="100" spans="1:18" ht="39" customHeight="1" x14ac:dyDescent="0.15">
      <c r="A100" s="12">
        <f t="shared" si="0"/>
        <v>94</v>
      </c>
      <c r="B100" s="13" t="s">
        <v>557</v>
      </c>
      <c r="C100" s="6">
        <v>1492284.57</v>
      </c>
      <c r="D100" s="14">
        <v>6144186.5200000005</v>
      </c>
      <c r="E100" s="15"/>
      <c r="F100" s="6" t="s">
        <v>464</v>
      </c>
      <c r="G100" s="21"/>
      <c r="H100" s="12"/>
      <c r="I100" s="12"/>
      <c r="J100" s="12"/>
      <c r="K100" s="18"/>
      <c r="M100" s="19">
        <v>4050000</v>
      </c>
      <c r="N100" s="20"/>
      <c r="Q100" s="2"/>
      <c r="R100" s="2"/>
    </row>
    <row r="101" spans="1:18" ht="39" customHeight="1" x14ac:dyDescent="0.15">
      <c r="A101" s="12">
        <f t="shared" si="0"/>
        <v>95</v>
      </c>
      <c r="B101" s="13" t="s">
        <v>558</v>
      </c>
      <c r="C101" s="6">
        <v>1461585.51</v>
      </c>
      <c r="D101" s="14">
        <v>1817907.79</v>
      </c>
      <c r="E101" s="15"/>
      <c r="F101" s="6" t="s">
        <v>464</v>
      </c>
      <c r="G101" s="21"/>
      <c r="H101" s="12"/>
      <c r="I101" s="12"/>
      <c r="J101" s="12"/>
      <c r="K101" s="18"/>
      <c r="M101" s="19">
        <v>126000</v>
      </c>
      <c r="N101" s="20"/>
      <c r="Q101" s="2"/>
      <c r="R101" s="2"/>
    </row>
    <row r="102" spans="1:18" ht="39" customHeight="1" x14ac:dyDescent="0.15">
      <c r="A102" s="12">
        <f t="shared" si="0"/>
        <v>96</v>
      </c>
      <c r="B102" s="13" t="s">
        <v>559</v>
      </c>
      <c r="C102" s="6">
        <v>1396502.25</v>
      </c>
      <c r="D102" s="14">
        <v>209560.25</v>
      </c>
      <c r="E102" s="15"/>
      <c r="F102" s="6" t="s">
        <v>464</v>
      </c>
      <c r="G102" s="21"/>
      <c r="H102" s="12"/>
      <c r="I102" s="12"/>
      <c r="J102" s="12"/>
      <c r="K102" s="18"/>
      <c r="M102" s="19">
        <v>655000</v>
      </c>
      <c r="N102" s="20"/>
      <c r="Q102" s="2"/>
      <c r="R102" s="2"/>
    </row>
    <row r="103" spans="1:18" ht="39" customHeight="1" x14ac:dyDescent="0.15">
      <c r="A103" s="12">
        <f t="shared" si="0"/>
        <v>97</v>
      </c>
      <c r="B103" s="13" t="s">
        <v>560</v>
      </c>
      <c r="C103" s="6">
        <v>1390296.33</v>
      </c>
      <c r="D103" s="14">
        <v>1540434.83</v>
      </c>
      <c r="E103" s="15"/>
      <c r="F103" s="6" t="s">
        <v>462</v>
      </c>
      <c r="G103" s="21"/>
      <c r="H103" s="12"/>
      <c r="I103" s="12"/>
      <c r="J103" s="12"/>
      <c r="K103" s="18"/>
      <c r="M103" s="19">
        <v>3450000</v>
      </c>
      <c r="N103" s="20"/>
      <c r="Q103" s="2"/>
      <c r="R103" s="2"/>
    </row>
    <row r="104" spans="1:18" ht="39" customHeight="1" x14ac:dyDescent="0.15">
      <c r="A104" s="12">
        <f t="shared" si="0"/>
        <v>98</v>
      </c>
      <c r="B104" s="13" t="s">
        <v>561</v>
      </c>
      <c r="C104" s="6">
        <v>1355411.45</v>
      </c>
      <c r="D104" s="14">
        <v>10331.74</v>
      </c>
      <c r="E104" s="15"/>
      <c r="F104" s="6" t="s">
        <v>462</v>
      </c>
      <c r="G104" s="21"/>
      <c r="H104" s="12"/>
      <c r="I104" s="12"/>
      <c r="J104" s="12"/>
      <c r="K104" s="18"/>
      <c r="M104" s="19">
        <v>6578868</v>
      </c>
      <c r="N104" s="20"/>
      <c r="Q104" s="2"/>
      <c r="R104" s="2"/>
    </row>
    <row r="105" spans="1:18" ht="39" customHeight="1" x14ac:dyDescent="0.15">
      <c r="A105" s="12">
        <f t="shared" si="0"/>
        <v>99</v>
      </c>
      <c r="B105" s="13" t="s">
        <v>562</v>
      </c>
      <c r="C105" s="6">
        <v>1340867.28</v>
      </c>
      <c r="D105" s="14">
        <v>1450867.28</v>
      </c>
      <c r="E105" s="15"/>
      <c r="F105" s="6" t="s">
        <v>464</v>
      </c>
      <c r="G105" s="12"/>
      <c r="H105" s="12"/>
      <c r="I105" s="12"/>
      <c r="J105" s="12"/>
      <c r="K105" s="18"/>
      <c r="M105" s="19">
        <v>110000</v>
      </c>
      <c r="N105" s="20"/>
      <c r="Q105" s="2"/>
      <c r="R105" s="2"/>
    </row>
    <row r="106" spans="1:18" ht="39" customHeight="1" x14ac:dyDescent="0.15">
      <c r="A106" s="12">
        <f t="shared" si="0"/>
        <v>100</v>
      </c>
      <c r="B106" s="13" t="s">
        <v>563</v>
      </c>
      <c r="C106" s="6">
        <v>1332175.72</v>
      </c>
      <c r="D106" s="14">
        <v>2018584.3</v>
      </c>
      <c r="E106" s="15"/>
      <c r="F106" s="6" t="s">
        <v>462</v>
      </c>
      <c r="G106" s="12"/>
      <c r="H106" s="12"/>
      <c r="I106" s="12"/>
      <c r="J106" s="17"/>
      <c r="K106" s="18"/>
      <c r="M106" s="19">
        <v>2600000</v>
      </c>
      <c r="N106" s="20"/>
      <c r="Q106" s="2"/>
      <c r="R106" s="2"/>
    </row>
    <row r="107" spans="1:18" ht="39" customHeight="1" x14ac:dyDescent="0.15">
      <c r="A107" s="12">
        <f t="shared" si="0"/>
        <v>101</v>
      </c>
      <c r="B107" s="13" t="s">
        <v>564</v>
      </c>
      <c r="C107" s="6">
        <v>1308981.4099999999</v>
      </c>
      <c r="D107" s="14">
        <v>1328981.4099999999</v>
      </c>
      <c r="E107" s="15"/>
      <c r="F107" s="6" t="s">
        <v>462</v>
      </c>
      <c r="G107" s="16"/>
      <c r="H107" s="12"/>
      <c r="I107" s="12"/>
      <c r="J107" s="12"/>
      <c r="K107" s="18"/>
      <c r="M107" s="19">
        <v>20000</v>
      </c>
      <c r="N107" s="20"/>
      <c r="Q107" s="2"/>
      <c r="R107" s="2"/>
    </row>
    <row r="108" spans="1:18" ht="39" customHeight="1" x14ac:dyDescent="0.15">
      <c r="A108" s="12">
        <f t="shared" si="0"/>
        <v>102</v>
      </c>
      <c r="B108" s="13" t="s">
        <v>565</v>
      </c>
      <c r="C108" s="6">
        <v>1304586.48</v>
      </c>
      <c r="D108" s="14">
        <v>2212911.42</v>
      </c>
      <c r="E108" s="15"/>
      <c r="F108" s="6" t="s">
        <v>464</v>
      </c>
      <c r="G108" s="12"/>
      <c r="H108" s="12"/>
      <c r="I108" s="12"/>
      <c r="J108" s="12"/>
      <c r="K108" s="18"/>
      <c r="M108" s="19">
        <v>350000</v>
      </c>
      <c r="N108" s="20"/>
      <c r="Q108" s="2"/>
      <c r="R108" s="2"/>
    </row>
    <row r="109" spans="1:18" ht="39" customHeight="1" x14ac:dyDescent="0.15">
      <c r="A109" s="12">
        <f t="shared" si="0"/>
        <v>103</v>
      </c>
      <c r="B109" s="13" t="s">
        <v>566</v>
      </c>
      <c r="C109" s="6">
        <v>1289380.47</v>
      </c>
      <c r="D109" s="14">
        <v>247485.47</v>
      </c>
      <c r="E109" s="15"/>
      <c r="F109" s="6" t="s">
        <v>462</v>
      </c>
      <c r="G109" s="12"/>
      <c r="H109" s="12"/>
      <c r="I109" s="12"/>
      <c r="J109" s="12"/>
      <c r="K109" s="18"/>
      <c r="M109" s="19">
        <v>841720</v>
      </c>
      <c r="N109" s="20"/>
      <c r="Q109" s="2"/>
      <c r="R109" s="2"/>
    </row>
    <row r="110" spans="1:18" ht="39" customHeight="1" x14ac:dyDescent="0.15">
      <c r="A110" s="12">
        <f t="shared" si="0"/>
        <v>104</v>
      </c>
      <c r="B110" s="13" t="s">
        <v>567</v>
      </c>
      <c r="C110" s="6">
        <v>1288800.8999999999</v>
      </c>
      <c r="D110" s="14">
        <v>1430980.9000000001</v>
      </c>
      <c r="E110" s="15"/>
      <c r="F110" s="6" t="s">
        <v>462</v>
      </c>
      <c r="G110" s="21"/>
      <c r="H110" s="12"/>
      <c r="I110" s="12"/>
      <c r="J110" s="17"/>
      <c r="K110" s="18"/>
      <c r="M110" s="19">
        <v>1641720</v>
      </c>
      <c r="N110" s="20"/>
      <c r="Q110" s="2"/>
      <c r="R110" s="2"/>
    </row>
    <row r="111" spans="1:18" ht="39" customHeight="1" x14ac:dyDescent="0.15">
      <c r="A111" s="12">
        <f t="shared" si="0"/>
        <v>105</v>
      </c>
      <c r="B111" s="13" t="s">
        <v>568</v>
      </c>
      <c r="C111" s="6">
        <v>1236362.1000000001</v>
      </c>
      <c r="D111" s="14">
        <v>178864.1</v>
      </c>
      <c r="E111" s="15"/>
      <c r="F111" s="6" t="s">
        <v>464</v>
      </c>
      <c r="G111" s="16"/>
      <c r="H111" s="12"/>
      <c r="I111" s="12"/>
      <c r="J111" s="12"/>
      <c r="K111" s="18"/>
      <c r="M111" s="19">
        <v>1988864</v>
      </c>
      <c r="N111" s="20"/>
      <c r="Q111" s="2"/>
      <c r="R111" s="2"/>
    </row>
    <row r="112" spans="1:18" ht="39" customHeight="1" x14ac:dyDescent="0.15">
      <c r="A112" s="12">
        <f t="shared" si="0"/>
        <v>106</v>
      </c>
      <c r="B112" s="13" t="s">
        <v>569</v>
      </c>
      <c r="C112" s="6">
        <v>1234241.1299999999</v>
      </c>
      <c r="D112" s="14">
        <v>2231760.4500000002</v>
      </c>
      <c r="E112" s="15"/>
      <c r="F112" s="6" t="s">
        <v>462</v>
      </c>
      <c r="G112" s="12"/>
      <c r="H112" s="12"/>
      <c r="I112" s="12"/>
      <c r="J112" s="12"/>
      <c r="K112" s="18"/>
      <c r="M112" s="19">
        <v>2392787</v>
      </c>
      <c r="N112" s="20"/>
      <c r="Q112" s="2"/>
      <c r="R112" s="2"/>
    </row>
    <row r="113" spans="1:18" ht="39" customHeight="1" x14ac:dyDescent="0.15">
      <c r="A113" s="12">
        <f t="shared" si="0"/>
        <v>107</v>
      </c>
      <c r="B113" s="13" t="s">
        <v>570</v>
      </c>
      <c r="C113" s="6">
        <v>1200822.49</v>
      </c>
      <c r="D113" s="14">
        <v>1200822.49</v>
      </c>
      <c r="E113" s="15"/>
      <c r="F113" s="6" t="s">
        <v>464</v>
      </c>
      <c r="G113" s="12"/>
      <c r="H113" s="12"/>
      <c r="I113" s="12"/>
      <c r="J113" s="12"/>
      <c r="K113" s="18"/>
      <c r="M113" s="19">
        <v>0</v>
      </c>
      <c r="N113" s="20"/>
      <c r="Q113" s="2"/>
      <c r="R113" s="2"/>
    </row>
    <row r="114" spans="1:18" ht="39" customHeight="1" x14ac:dyDescent="0.15">
      <c r="A114" s="12">
        <f t="shared" si="0"/>
        <v>108</v>
      </c>
      <c r="B114" s="13" t="s">
        <v>571</v>
      </c>
      <c r="C114" s="6">
        <v>1192710</v>
      </c>
      <c r="D114" s="14">
        <v>0</v>
      </c>
      <c r="E114" s="15"/>
      <c r="F114" s="6" t="s">
        <v>462</v>
      </c>
      <c r="G114" s="12"/>
      <c r="H114" s="12"/>
      <c r="I114" s="12"/>
      <c r="J114" s="17"/>
      <c r="K114" s="18"/>
      <c r="M114" s="19">
        <v>100000</v>
      </c>
      <c r="N114" s="20"/>
      <c r="Q114" s="2"/>
      <c r="R114" s="2"/>
    </row>
    <row r="115" spans="1:18" ht="39" customHeight="1" x14ac:dyDescent="0.15">
      <c r="A115" s="12">
        <f t="shared" si="0"/>
        <v>109</v>
      </c>
      <c r="B115" s="13" t="s">
        <v>572</v>
      </c>
      <c r="C115" s="6">
        <v>1059501.1000000001</v>
      </c>
      <c r="D115" s="14">
        <v>1148359.3400000001</v>
      </c>
      <c r="E115" s="15"/>
      <c r="F115" s="6" t="s">
        <v>464</v>
      </c>
      <c r="G115" s="21"/>
      <c r="H115" s="12"/>
      <c r="I115" s="12"/>
      <c r="J115" s="12"/>
      <c r="K115" s="18"/>
      <c r="M115" s="19">
        <v>885000</v>
      </c>
      <c r="N115" s="20"/>
      <c r="Q115" s="2"/>
      <c r="R115" s="2"/>
    </row>
    <row r="116" spans="1:18" ht="39" customHeight="1" x14ac:dyDescent="0.15">
      <c r="A116" s="12">
        <f t="shared" si="0"/>
        <v>110</v>
      </c>
      <c r="B116" s="13" t="s">
        <v>573</v>
      </c>
      <c r="C116" s="6">
        <v>1045028.27</v>
      </c>
      <c r="D116" s="14">
        <v>1045028.27</v>
      </c>
      <c r="E116" s="8" t="s">
        <v>530</v>
      </c>
      <c r="F116" s="6"/>
      <c r="G116" s="21"/>
      <c r="H116" s="12"/>
      <c r="I116" s="12"/>
      <c r="J116" s="12"/>
      <c r="K116" s="18"/>
      <c r="M116" s="19">
        <v>0</v>
      </c>
      <c r="N116" s="20"/>
      <c r="Q116" s="2"/>
      <c r="R116" s="2"/>
    </row>
    <row r="117" spans="1:18" ht="39" customHeight="1" x14ac:dyDescent="0.15">
      <c r="A117" s="12">
        <f t="shared" si="0"/>
        <v>111</v>
      </c>
      <c r="B117" s="13" t="s">
        <v>574</v>
      </c>
      <c r="C117" s="6">
        <v>1018730</v>
      </c>
      <c r="D117" s="14">
        <v>1309070</v>
      </c>
      <c r="E117" s="15"/>
      <c r="F117" s="6" t="s">
        <v>462</v>
      </c>
      <c r="G117" s="21"/>
      <c r="H117" s="12"/>
      <c r="I117" s="12"/>
      <c r="J117" s="12"/>
      <c r="K117" s="18"/>
      <c r="M117" s="19">
        <v>1050000</v>
      </c>
      <c r="N117" s="20"/>
      <c r="Q117" s="2"/>
      <c r="R117" s="2"/>
    </row>
    <row r="118" spans="1:18" ht="39" customHeight="1" x14ac:dyDescent="0.15">
      <c r="A118" s="12">
        <f t="shared" si="0"/>
        <v>112</v>
      </c>
      <c r="B118" s="13" t="s">
        <v>575</v>
      </c>
      <c r="C118" s="6">
        <v>1004474</v>
      </c>
      <c r="D118" s="14">
        <v>2961510</v>
      </c>
      <c r="E118" s="8" t="s">
        <v>530</v>
      </c>
      <c r="F118" s="6"/>
      <c r="G118" s="12"/>
      <c r="H118" s="12"/>
      <c r="I118" s="12"/>
      <c r="J118" s="12"/>
      <c r="K118" s="18"/>
      <c r="M118" s="19">
        <v>1957036</v>
      </c>
      <c r="N118" s="20"/>
      <c r="Q118" s="2"/>
      <c r="R118" s="2"/>
    </row>
    <row r="119" spans="1:18" ht="39" customHeight="1" x14ac:dyDescent="0.15">
      <c r="A119" s="12">
        <f t="shared" si="0"/>
        <v>113</v>
      </c>
      <c r="B119" s="13" t="s">
        <v>576</v>
      </c>
      <c r="C119" s="6">
        <v>967594.22</v>
      </c>
      <c r="D119" s="14">
        <v>1319940.55</v>
      </c>
      <c r="E119" s="15"/>
      <c r="F119" s="6" t="s">
        <v>464</v>
      </c>
      <c r="G119" s="21"/>
      <c r="H119" s="12"/>
      <c r="I119" s="12"/>
      <c r="J119" s="12"/>
      <c r="K119" s="18"/>
      <c r="M119" s="19">
        <v>1876803</v>
      </c>
      <c r="N119" s="20"/>
      <c r="Q119" s="2"/>
      <c r="R119" s="2"/>
    </row>
    <row r="120" spans="1:18" ht="39" customHeight="1" x14ac:dyDescent="0.15">
      <c r="A120" s="12">
        <f t="shared" si="0"/>
        <v>114</v>
      </c>
      <c r="B120" s="13" t="s">
        <v>577</v>
      </c>
      <c r="C120" s="6">
        <v>960083.35</v>
      </c>
      <c r="D120" s="14">
        <v>960083.35</v>
      </c>
      <c r="E120" s="8" t="s">
        <v>530</v>
      </c>
      <c r="F120" s="6"/>
      <c r="G120" s="21"/>
      <c r="H120" s="12"/>
      <c r="I120" s="12"/>
      <c r="J120" s="17"/>
      <c r="K120" s="18"/>
      <c r="M120" s="19">
        <v>0</v>
      </c>
      <c r="N120" s="20"/>
      <c r="Q120" s="2"/>
      <c r="R120" s="2"/>
    </row>
    <row r="121" spans="1:18" ht="39" customHeight="1" x14ac:dyDescent="0.15">
      <c r="A121" s="12">
        <f t="shared" si="0"/>
        <v>115</v>
      </c>
      <c r="B121" s="13" t="s">
        <v>578</v>
      </c>
      <c r="C121" s="6">
        <v>947247.34</v>
      </c>
      <c r="D121" s="14">
        <v>1157081.82</v>
      </c>
      <c r="E121" s="15"/>
      <c r="F121" s="6" t="s">
        <v>464</v>
      </c>
      <c r="G121" s="21"/>
      <c r="H121" s="12"/>
      <c r="I121" s="12"/>
      <c r="J121" s="12"/>
      <c r="K121" s="18"/>
      <c r="M121" s="19">
        <v>2150930</v>
      </c>
      <c r="N121" s="20"/>
      <c r="Q121" s="2"/>
      <c r="R121" s="2"/>
    </row>
    <row r="122" spans="1:18" ht="39" customHeight="1" x14ac:dyDescent="0.15">
      <c r="A122" s="12">
        <f t="shared" si="0"/>
        <v>116</v>
      </c>
      <c r="B122" s="13" t="s">
        <v>579</v>
      </c>
      <c r="C122" s="6">
        <v>942359.93</v>
      </c>
      <c r="D122" s="14">
        <v>942359.93</v>
      </c>
      <c r="E122" s="8" t="s">
        <v>530</v>
      </c>
      <c r="F122" s="6"/>
      <c r="G122" s="21"/>
      <c r="H122" s="12"/>
      <c r="I122" s="12"/>
      <c r="J122" s="12"/>
      <c r="K122" s="18"/>
      <c r="M122" s="19">
        <v>0</v>
      </c>
      <c r="N122" s="20"/>
      <c r="Q122" s="2"/>
      <c r="R122" s="2"/>
    </row>
    <row r="123" spans="1:18" ht="39" customHeight="1" x14ac:dyDescent="0.15">
      <c r="A123" s="12">
        <f t="shared" si="0"/>
        <v>117</v>
      </c>
      <c r="B123" s="13" t="s">
        <v>580</v>
      </c>
      <c r="C123" s="6">
        <v>908971.34</v>
      </c>
      <c r="D123" s="14">
        <v>908971.34</v>
      </c>
      <c r="E123" s="15"/>
      <c r="F123" s="6" t="s">
        <v>464</v>
      </c>
      <c r="G123" s="12"/>
      <c r="H123" s="12"/>
      <c r="I123" s="12"/>
      <c r="J123" s="12"/>
      <c r="K123" s="18"/>
      <c r="M123" s="19">
        <v>0</v>
      </c>
      <c r="N123" s="20"/>
      <c r="Q123" s="2"/>
      <c r="R123" s="2"/>
    </row>
    <row r="124" spans="1:18" ht="39" customHeight="1" x14ac:dyDescent="0.15">
      <c r="A124" s="12">
        <f t="shared" si="0"/>
        <v>118</v>
      </c>
      <c r="B124" s="13" t="s">
        <v>581</v>
      </c>
      <c r="C124" s="6">
        <v>908181.4</v>
      </c>
      <c r="D124" s="14">
        <v>187780.28</v>
      </c>
      <c r="E124" s="15"/>
      <c r="F124" s="6" t="s">
        <v>464</v>
      </c>
      <c r="G124" s="21"/>
      <c r="H124" s="12"/>
      <c r="I124" s="12"/>
      <c r="J124" s="12"/>
      <c r="K124" s="18"/>
      <c r="M124" s="19">
        <v>1311720</v>
      </c>
      <c r="N124" s="20"/>
      <c r="Q124" s="2"/>
      <c r="R124" s="2"/>
    </row>
    <row r="125" spans="1:18" ht="39" customHeight="1" x14ac:dyDescent="0.15">
      <c r="A125" s="12">
        <f t="shared" si="0"/>
        <v>119</v>
      </c>
      <c r="B125" s="13" t="s">
        <v>582</v>
      </c>
      <c r="C125" s="6">
        <v>874021.76</v>
      </c>
      <c r="D125" s="14">
        <v>849241.21</v>
      </c>
      <c r="E125" s="15"/>
      <c r="F125" s="6" t="s">
        <v>464</v>
      </c>
      <c r="G125" s="21"/>
      <c r="H125" s="12"/>
      <c r="I125" s="12"/>
      <c r="J125" s="12"/>
      <c r="K125" s="18"/>
      <c r="M125" s="19">
        <v>749404</v>
      </c>
      <c r="N125" s="20"/>
      <c r="Q125" s="2"/>
      <c r="R125" s="2"/>
    </row>
    <row r="126" spans="1:18" ht="39" customHeight="1" x14ac:dyDescent="0.15">
      <c r="A126" s="12">
        <f t="shared" si="0"/>
        <v>120</v>
      </c>
      <c r="B126" s="13" t="s">
        <v>583</v>
      </c>
      <c r="C126" s="6">
        <v>865226.49</v>
      </c>
      <c r="D126" s="14">
        <v>-0.51</v>
      </c>
      <c r="E126" s="15"/>
      <c r="F126" s="6" t="s">
        <v>464</v>
      </c>
      <c r="G126" s="21"/>
      <c r="H126" s="12"/>
      <c r="I126" s="12"/>
      <c r="J126" s="12"/>
      <c r="K126" s="18"/>
      <c r="M126" s="19">
        <v>707129</v>
      </c>
      <c r="N126" s="20"/>
      <c r="Q126" s="2"/>
      <c r="R126" s="2"/>
    </row>
    <row r="127" spans="1:18" ht="39" customHeight="1" x14ac:dyDescent="0.15">
      <c r="A127" s="12">
        <f t="shared" si="0"/>
        <v>121</v>
      </c>
      <c r="B127" s="13" t="s">
        <v>584</v>
      </c>
      <c r="C127" s="6">
        <v>844125.26</v>
      </c>
      <c r="D127" s="14">
        <v>844125.26</v>
      </c>
      <c r="E127" s="15"/>
      <c r="F127" s="6" t="s">
        <v>464</v>
      </c>
      <c r="G127" s="12"/>
      <c r="H127" s="12"/>
      <c r="I127" s="12"/>
      <c r="J127" s="12"/>
      <c r="K127" s="18"/>
      <c r="M127" s="19">
        <v>0</v>
      </c>
      <c r="N127" s="20"/>
      <c r="Q127" s="2"/>
      <c r="R127" s="2"/>
    </row>
    <row r="128" spans="1:18" ht="39" customHeight="1" x14ac:dyDescent="0.15">
      <c r="A128" s="12">
        <f t="shared" si="0"/>
        <v>122</v>
      </c>
      <c r="B128" s="13" t="s">
        <v>585</v>
      </c>
      <c r="C128" s="6">
        <v>843805.46</v>
      </c>
      <c r="D128" s="14">
        <v>1143860.49</v>
      </c>
      <c r="E128" s="15"/>
      <c r="F128" s="6" t="s">
        <v>464</v>
      </c>
      <c r="G128" s="12"/>
      <c r="H128" s="12"/>
      <c r="I128" s="12"/>
      <c r="J128" s="12"/>
      <c r="K128" s="18"/>
      <c r="M128" s="19">
        <v>2700000</v>
      </c>
      <c r="N128" s="20"/>
      <c r="Q128" s="2"/>
      <c r="R128" s="2"/>
    </row>
    <row r="129" spans="1:18" ht="39" customHeight="1" x14ac:dyDescent="0.15">
      <c r="A129" s="12">
        <f t="shared" si="0"/>
        <v>123</v>
      </c>
      <c r="B129" s="13" t="s">
        <v>586</v>
      </c>
      <c r="C129" s="6">
        <v>843204.9</v>
      </c>
      <c r="D129" s="14">
        <v>1128616.96</v>
      </c>
      <c r="E129" s="15"/>
      <c r="F129" s="6" t="s">
        <v>464</v>
      </c>
      <c r="G129" s="12"/>
      <c r="H129" s="12"/>
      <c r="I129" s="12"/>
      <c r="J129" s="12"/>
      <c r="K129" s="18"/>
      <c r="M129" s="19">
        <v>225000</v>
      </c>
      <c r="N129" s="20"/>
      <c r="Q129" s="2"/>
      <c r="R129" s="2"/>
    </row>
    <row r="130" spans="1:18" ht="39" customHeight="1" x14ac:dyDescent="0.15">
      <c r="A130" s="12">
        <f t="shared" si="0"/>
        <v>124</v>
      </c>
      <c r="B130" s="13" t="s">
        <v>587</v>
      </c>
      <c r="C130" s="6">
        <v>840650.23</v>
      </c>
      <c r="D130" s="14">
        <v>441221.48</v>
      </c>
      <c r="E130" s="15"/>
      <c r="F130" s="6" t="s">
        <v>464</v>
      </c>
      <c r="G130" s="21"/>
      <c r="H130" s="12"/>
      <c r="I130" s="12"/>
      <c r="J130" s="12"/>
      <c r="K130" s="18"/>
      <c r="M130" s="19">
        <v>2176753</v>
      </c>
      <c r="N130" s="20"/>
      <c r="Q130" s="2"/>
      <c r="R130" s="2"/>
    </row>
    <row r="131" spans="1:18" ht="39" customHeight="1" x14ac:dyDescent="0.15">
      <c r="A131" s="12">
        <f t="shared" si="0"/>
        <v>125</v>
      </c>
      <c r="B131" s="13" t="s">
        <v>588</v>
      </c>
      <c r="C131" s="6">
        <v>814678.52</v>
      </c>
      <c r="D131" s="14">
        <v>172514.92</v>
      </c>
      <c r="E131" s="15"/>
      <c r="F131" s="6" t="s">
        <v>464</v>
      </c>
      <c r="G131" s="12"/>
      <c r="H131" s="12"/>
      <c r="I131" s="12"/>
      <c r="J131" s="17"/>
      <c r="K131" s="18"/>
      <c r="M131" s="19">
        <v>572514</v>
      </c>
      <c r="N131" s="20"/>
      <c r="Q131" s="2"/>
      <c r="R131" s="2"/>
    </row>
    <row r="132" spans="1:18" ht="39" customHeight="1" x14ac:dyDescent="0.15">
      <c r="A132" s="12">
        <f t="shared" si="0"/>
        <v>126</v>
      </c>
      <c r="B132" s="13" t="s">
        <v>589</v>
      </c>
      <c r="C132" s="6">
        <v>794637.88</v>
      </c>
      <c r="D132" s="14">
        <v>1008637.88</v>
      </c>
      <c r="E132" s="15"/>
      <c r="F132" s="6" t="s">
        <v>462</v>
      </c>
      <c r="G132" s="21"/>
      <c r="H132" s="12"/>
      <c r="I132" s="12"/>
      <c r="J132" s="12"/>
      <c r="K132" s="18"/>
      <c r="M132" s="19">
        <v>1500000</v>
      </c>
      <c r="N132" s="20"/>
      <c r="Q132" s="2"/>
      <c r="R132" s="2"/>
    </row>
    <row r="133" spans="1:18" ht="39" customHeight="1" x14ac:dyDescent="0.15">
      <c r="A133" s="12">
        <f t="shared" si="0"/>
        <v>127</v>
      </c>
      <c r="B133" s="13" t="s">
        <v>590</v>
      </c>
      <c r="C133" s="6">
        <v>788913.1</v>
      </c>
      <c r="D133" s="14">
        <v>536320</v>
      </c>
      <c r="E133" s="15"/>
      <c r="F133" s="6" t="s">
        <v>462</v>
      </c>
      <c r="G133" s="21"/>
      <c r="H133" s="12"/>
      <c r="I133" s="12"/>
      <c r="J133" s="12"/>
      <c r="K133" s="18"/>
      <c r="M133" s="19">
        <v>960000</v>
      </c>
      <c r="N133" s="20"/>
      <c r="Q133" s="2"/>
      <c r="R133" s="2"/>
    </row>
    <row r="134" spans="1:18" ht="39" customHeight="1" x14ac:dyDescent="0.15">
      <c r="A134" s="12">
        <f t="shared" si="0"/>
        <v>128</v>
      </c>
      <c r="B134" s="13" t="s">
        <v>591</v>
      </c>
      <c r="C134" s="6">
        <v>773282</v>
      </c>
      <c r="D134" s="14">
        <v>529050</v>
      </c>
      <c r="E134" s="15"/>
      <c r="F134" s="6" t="s">
        <v>464</v>
      </c>
      <c r="G134" s="16"/>
      <c r="H134" s="12"/>
      <c r="I134" s="12"/>
      <c r="J134" s="17"/>
      <c r="K134" s="18"/>
      <c r="M134" s="19">
        <v>789050</v>
      </c>
      <c r="N134" s="20"/>
      <c r="Q134" s="2"/>
      <c r="R134" s="2"/>
    </row>
    <row r="135" spans="1:18" ht="39" customHeight="1" x14ac:dyDescent="0.15">
      <c r="A135" s="12">
        <f t="shared" si="0"/>
        <v>129</v>
      </c>
      <c r="B135" s="13" t="s">
        <v>592</v>
      </c>
      <c r="C135" s="6">
        <v>765920</v>
      </c>
      <c r="D135" s="14">
        <v>0</v>
      </c>
      <c r="E135" s="15"/>
      <c r="F135" s="6" t="s">
        <v>462</v>
      </c>
      <c r="G135" s="21"/>
      <c r="H135" s="12"/>
      <c r="I135" s="12"/>
      <c r="J135" s="12"/>
      <c r="K135" s="18"/>
      <c r="M135" s="19">
        <v>1100000</v>
      </c>
      <c r="N135" s="20"/>
      <c r="Q135" s="2"/>
      <c r="R135" s="2"/>
    </row>
    <row r="136" spans="1:18" ht="39" customHeight="1" x14ac:dyDescent="0.15">
      <c r="A136" s="12">
        <f t="shared" si="0"/>
        <v>130</v>
      </c>
      <c r="B136" s="13" t="s">
        <v>593</v>
      </c>
      <c r="C136" s="6">
        <v>758936.01</v>
      </c>
      <c r="D136" s="14">
        <v>1598746.1300000001</v>
      </c>
      <c r="E136" s="8" t="s">
        <v>530</v>
      </c>
      <c r="F136" s="6"/>
      <c r="G136" s="21"/>
      <c r="H136" s="12"/>
      <c r="I136" s="12"/>
      <c r="J136" s="12"/>
      <c r="K136" s="18"/>
      <c r="M136" s="19">
        <v>700000</v>
      </c>
      <c r="N136" s="20"/>
      <c r="Q136" s="2"/>
      <c r="R136" s="2"/>
    </row>
    <row r="137" spans="1:18" ht="39" customHeight="1" x14ac:dyDescent="0.15">
      <c r="A137" s="12">
        <f t="shared" si="0"/>
        <v>131</v>
      </c>
      <c r="B137" s="13" t="s">
        <v>594</v>
      </c>
      <c r="C137" s="6">
        <v>757272.01</v>
      </c>
      <c r="D137" s="14">
        <v>480932</v>
      </c>
      <c r="E137" s="8"/>
      <c r="F137" s="6" t="s">
        <v>464</v>
      </c>
      <c r="G137" s="21"/>
      <c r="H137" s="12"/>
      <c r="I137" s="12"/>
      <c r="J137" s="12"/>
      <c r="K137" s="18"/>
      <c r="M137" s="19">
        <v>895380</v>
      </c>
      <c r="N137" s="20"/>
      <c r="Q137" s="2"/>
      <c r="R137" s="2"/>
    </row>
    <row r="138" spans="1:18" ht="39" customHeight="1" x14ac:dyDescent="0.15">
      <c r="A138" s="12">
        <f t="shared" si="0"/>
        <v>132</v>
      </c>
      <c r="B138" s="13" t="s">
        <v>595</v>
      </c>
      <c r="C138" s="6">
        <v>745440</v>
      </c>
      <c r="D138" s="14">
        <v>818500</v>
      </c>
      <c r="E138" s="8" t="s">
        <v>530</v>
      </c>
      <c r="F138" s="6"/>
      <c r="G138" s="21"/>
      <c r="H138" s="12"/>
      <c r="I138" s="12"/>
      <c r="J138" s="17"/>
      <c r="K138" s="18"/>
      <c r="M138" s="19">
        <v>818500</v>
      </c>
      <c r="N138" s="20"/>
      <c r="Q138" s="2"/>
      <c r="R138" s="2"/>
    </row>
    <row r="139" spans="1:18" ht="39" customHeight="1" x14ac:dyDescent="0.15">
      <c r="A139" s="12">
        <f t="shared" si="0"/>
        <v>133</v>
      </c>
      <c r="B139" s="13" t="s">
        <v>596</v>
      </c>
      <c r="C139" s="6">
        <v>736088.59</v>
      </c>
      <c r="D139" s="14">
        <v>736088.59</v>
      </c>
      <c r="E139" s="8" t="s">
        <v>530</v>
      </c>
      <c r="F139" s="6"/>
      <c r="G139" s="12"/>
      <c r="H139" s="12"/>
      <c r="I139" s="12"/>
      <c r="J139" s="12"/>
      <c r="K139" s="18"/>
      <c r="M139" s="19">
        <v>0</v>
      </c>
      <c r="N139" s="20"/>
      <c r="Q139" s="2"/>
      <c r="R139" s="2"/>
    </row>
    <row r="140" spans="1:18" ht="39" customHeight="1" x14ac:dyDescent="0.15">
      <c r="A140" s="12">
        <f t="shared" si="0"/>
        <v>134</v>
      </c>
      <c r="B140" s="13" t="s">
        <v>597</v>
      </c>
      <c r="C140" s="6">
        <v>712034.74</v>
      </c>
      <c r="D140" s="14">
        <v>451811.10000000003</v>
      </c>
      <c r="E140" s="8"/>
      <c r="F140" s="6" t="s">
        <v>464</v>
      </c>
      <c r="G140" s="21"/>
      <c r="H140" s="12"/>
      <c r="I140" s="12"/>
      <c r="J140" s="12"/>
      <c r="K140" s="18"/>
      <c r="M140" s="19">
        <v>779189</v>
      </c>
      <c r="N140" s="20"/>
      <c r="Q140" s="2"/>
      <c r="R140" s="2"/>
    </row>
    <row r="141" spans="1:18" ht="39" customHeight="1" x14ac:dyDescent="0.15">
      <c r="A141" s="12">
        <f t="shared" si="0"/>
        <v>135</v>
      </c>
      <c r="B141" s="13" t="s">
        <v>598</v>
      </c>
      <c r="C141" s="6">
        <v>677045.15</v>
      </c>
      <c r="D141" s="14">
        <v>242021.25</v>
      </c>
      <c r="E141" s="8" t="s">
        <v>530</v>
      </c>
      <c r="F141" s="6"/>
      <c r="G141" s="16"/>
      <c r="H141" s="12"/>
      <c r="I141" s="12"/>
      <c r="J141" s="12"/>
      <c r="K141" s="18"/>
      <c r="M141" s="19">
        <v>2463741</v>
      </c>
      <c r="N141" s="20"/>
      <c r="Q141" s="2"/>
      <c r="R141" s="2"/>
    </row>
    <row r="142" spans="1:18" ht="39" customHeight="1" x14ac:dyDescent="0.15">
      <c r="A142" s="12">
        <f t="shared" si="0"/>
        <v>136</v>
      </c>
      <c r="B142" s="13" t="s">
        <v>599</v>
      </c>
      <c r="C142" s="6">
        <v>670260</v>
      </c>
      <c r="D142" s="14">
        <v>0</v>
      </c>
      <c r="E142" s="15"/>
      <c r="F142" s="6" t="s">
        <v>462</v>
      </c>
      <c r="G142" s="12"/>
      <c r="H142" s="12"/>
      <c r="I142" s="12"/>
      <c r="J142" s="17"/>
      <c r="K142" s="18"/>
      <c r="M142" s="19">
        <v>150000</v>
      </c>
      <c r="N142" s="20"/>
      <c r="Q142" s="2"/>
      <c r="R142" s="2"/>
    </row>
    <row r="143" spans="1:18" ht="39" customHeight="1" x14ac:dyDescent="0.15">
      <c r="A143" s="12">
        <f t="shared" si="0"/>
        <v>137</v>
      </c>
      <c r="B143" s="13" t="s">
        <v>600</v>
      </c>
      <c r="C143" s="6">
        <v>665233.06999999995</v>
      </c>
      <c r="D143" s="14">
        <v>3154135.36</v>
      </c>
      <c r="E143" s="15"/>
      <c r="F143" s="6" t="s">
        <v>462</v>
      </c>
      <c r="G143" s="21"/>
      <c r="H143" s="12"/>
      <c r="I143" s="12"/>
      <c r="J143" s="17"/>
      <c r="K143" s="18"/>
      <c r="M143" s="19">
        <v>1470000</v>
      </c>
      <c r="N143" s="20"/>
      <c r="Q143" s="2"/>
      <c r="R143" s="2"/>
    </row>
    <row r="144" spans="1:18" ht="39" customHeight="1" x14ac:dyDescent="0.15">
      <c r="A144" s="12">
        <f t="shared" si="0"/>
        <v>138</v>
      </c>
      <c r="B144" s="13" t="s">
        <v>601</v>
      </c>
      <c r="C144" s="6">
        <v>661316.65</v>
      </c>
      <c r="D144" s="14">
        <v>1231316.6499999999</v>
      </c>
      <c r="E144" s="15"/>
      <c r="F144" s="6" t="s">
        <v>464</v>
      </c>
      <c r="G144" s="12"/>
      <c r="H144" s="12"/>
      <c r="I144" s="12"/>
      <c r="J144" s="12"/>
      <c r="K144" s="18"/>
      <c r="M144" s="19">
        <v>570000</v>
      </c>
      <c r="N144" s="20"/>
      <c r="Q144" s="2"/>
      <c r="R144" s="2"/>
    </row>
    <row r="145" spans="1:18" ht="39" customHeight="1" x14ac:dyDescent="0.15">
      <c r="A145" s="12">
        <f t="shared" si="0"/>
        <v>139</v>
      </c>
      <c r="B145" s="13" t="s">
        <v>602</v>
      </c>
      <c r="C145" s="6">
        <v>625538.80000000005</v>
      </c>
      <c r="D145" s="14">
        <v>675538.8</v>
      </c>
      <c r="E145" s="8" t="s">
        <v>530</v>
      </c>
      <c r="F145" s="6"/>
      <c r="G145" s="21"/>
      <c r="H145" s="12"/>
      <c r="I145" s="12"/>
      <c r="J145" s="12"/>
      <c r="K145" s="18"/>
      <c r="M145" s="19">
        <v>50000</v>
      </c>
      <c r="N145" s="20"/>
      <c r="Q145" s="2"/>
      <c r="R145" s="2"/>
    </row>
    <row r="146" spans="1:18" ht="39" customHeight="1" x14ac:dyDescent="0.15">
      <c r="A146" s="12">
        <f t="shared" si="0"/>
        <v>140</v>
      </c>
      <c r="B146" s="13" t="s">
        <v>603</v>
      </c>
      <c r="C146" s="6">
        <v>602420.74</v>
      </c>
      <c r="D146" s="14">
        <v>615091.65</v>
      </c>
      <c r="E146" s="8" t="s">
        <v>530</v>
      </c>
      <c r="F146" s="6"/>
      <c r="G146" s="21"/>
      <c r="H146" s="12"/>
      <c r="I146" s="12"/>
      <c r="J146" s="12"/>
      <c r="K146" s="18"/>
      <c r="M146" s="19">
        <v>10000</v>
      </c>
      <c r="N146" s="20"/>
      <c r="Q146" s="2"/>
      <c r="R146" s="2"/>
    </row>
    <row r="147" spans="1:18" ht="39" customHeight="1" x14ac:dyDescent="0.15">
      <c r="A147" s="12">
        <f t="shared" si="0"/>
        <v>141</v>
      </c>
      <c r="B147" s="13" t="s">
        <v>604</v>
      </c>
      <c r="C147" s="6">
        <v>594051.11</v>
      </c>
      <c r="D147" s="14">
        <v>1333130.55</v>
      </c>
      <c r="E147" s="15"/>
      <c r="F147" s="6" t="s">
        <v>462</v>
      </c>
      <c r="G147" s="21"/>
      <c r="H147" s="12"/>
      <c r="I147" s="12"/>
      <c r="J147" s="12"/>
      <c r="K147" s="18"/>
      <c r="M147" s="19">
        <v>1833129</v>
      </c>
      <c r="N147" s="20"/>
      <c r="Q147" s="2"/>
      <c r="R147" s="2"/>
    </row>
    <row r="148" spans="1:18" ht="39" customHeight="1" x14ac:dyDescent="0.15">
      <c r="A148" s="12">
        <f t="shared" si="0"/>
        <v>142</v>
      </c>
      <c r="B148" s="13" t="s">
        <v>605</v>
      </c>
      <c r="C148" s="6">
        <v>590125.79</v>
      </c>
      <c r="D148" s="14">
        <v>583271.15</v>
      </c>
      <c r="E148" s="15"/>
      <c r="F148" s="6" t="s">
        <v>462</v>
      </c>
      <c r="G148" s="21"/>
      <c r="H148" s="12"/>
      <c r="I148" s="12"/>
      <c r="J148" s="12"/>
      <c r="K148" s="18"/>
      <c r="M148" s="19">
        <v>3889110</v>
      </c>
      <c r="N148" s="20"/>
      <c r="Q148" s="2"/>
      <c r="R148" s="2"/>
    </row>
    <row r="149" spans="1:18" ht="39" customHeight="1" x14ac:dyDescent="0.15">
      <c r="A149" s="12">
        <f t="shared" si="0"/>
        <v>143</v>
      </c>
      <c r="B149" s="13" t="s">
        <v>606</v>
      </c>
      <c r="C149" s="6">
        <v>586332.24</v>
      </c>
      <c r="D149" s="14">
        <v>716332.24</v>
      </c>
      <c r="E149" s="15"/>
      <c r="F149" s="6" t="s">
        <v>462</v>
      </c>
      <c r="G149" s="21"/>
      <c r="H149" s="12"/>
      <c r="I149" s="12"/>
      <c r="J149" s="12"/>
      <c r="K149" s="18"/>
      <c r="M149" s="19">
        <v>130000</v>
      </c>
      <c r="N149" s="20"/>
      <c r="Q149" s="2"/>
      <c r="R149" s="2"/>
    </row>
    <row r="150" spans="1:18" ht="39" customHeight="1" x14ac:dyDescent="0.15">
      <c r="A150" s="12">
        <f t="shared" si="0"/>
        <v>144</v>
      </c>
      <c r="B150" s="13" t="s">
        <v>607</v>
      </c>
      <c r="C150" s="6">
        <v>570830</v>
      </c>
      <c r="D150" s="14">
        <v>190830</v>
      </c>
      <c r="E150" s="15"/>
      <c r="F150" s="6" t="s">
        <v>462</v>
      </c>
      <c r="G150" s="12"/>
      <c r="H150" s="12"/>
      <c r="I150" s="12"/>
      <c r="J150" s="12"/>
      <c r="K150" s="18"/>
      <c r="M150" s="19">
        <v>800000</v>
      </c>
      <c r="N150" s="20"/>
      <c r="Q150" s="2"/>
      <c r="R150" s="2"/>
    </row>
    <row r="151" spans="1:18" ht="39" customHeight="1" x14ac:dyDescent="0.15">
      <c r="A151" s="12">
        <f t="shared" si="0"/>
        <v>145</v>
      </c>
      <c r="B151" s="13" t="s">
        <v>608</v>
      </c>
      <c r="C151" s="6">
        <v>561300.84</v>
      </c>
      <c r="D151" s="14">
        <v>70.09</v>
      </c>
      <c r="E151" s="15"/>
      <c r="F151" s="6" t="s">
        <v>464</v>
      </c>
      <c r="G151" s="12"/>
      <c r="H151" s="12"/>
      <c r="I151" s="12"/>
      <c r="J151" s="12"/>
      <c r="K151" s="18"/>
      <c r="M151" s="19">
        <v>4189260</v>
      </c>
      <c r="N151" s="20"/>
      <c r="Q151" s="2"/>
      <c r="R151" s="2"/>
    </row>
    <row r="152" spans="1:18" ht="39" customHeight="1" x14ac:dyDescent="0.15">
      <c r="A152" s="12">
        <f t="shared" si="0"/>
        <v>146</v>
      </c>
      <c r="B152" s="22" t="s">
        <v>609</v>
      </c>
      <c r="C152" s="6">
        <v>553357.12</v>
      </c>
      <c r="D152" s="14">
        <v>1833704.1300000001</v>
      </c>
      <c r="E152" s="15"/>
      <c r="F152" s="6" t="s">
        <v>464</v>
      </c>
      <c r="G152" s="21"/>
      <c r="H152" s="12"/>
      <c r="I152" s="12"/>
      <c r="J152" s="12"/>
      <c r="K152" s="18"/>
      <c r="M152" s="19">
        <v>1075000</v>
      </c>
      <c r="N152" s="20"/>
      <c r="Q152" s="2"/>
      <c r="R152" s="2"/>
    </row>
    <row r="153" spans="1:18" ht="39" customHeight="1" x14ac:dyDescent="0.15">
      <c r="A153" s="12">
        <f t="shared" si="0"/>
        <v>147</v>
      </c>
      <c r="B153" s="13" t="s">
        <v>610</v>
      </c>
      <c r="C153" s="6">
        <v>543800.69999999995</v>
      </c>
      <c r="D153" s="14">
        <v>0.70000000000000007</v>
      </c>
      <c r="E153" s="15"/>
      <c r="F153" s="6" t="s">
        <v>464</v>
      </c>
      <c r="G153" s="12"/>
      <c r="H153" s="12"/>
      <c r="I153" s="12"/>
      <c r="J153" s="17"/>
      <c r="K153" s="18"/>
      <c r="M153" s="19">
        <v>240000</v>
      </c>
      <c r="N153" s="20"/>
      <c r="Q153" s="2"/>
      <c r="R153" s="2"/>
    </row>
    <row r="154" spans="1:18" ht="39" customHeight="1" x14ac:dyDescent="0.15">
      <c r="A154" s="12">
        <f t="shared" si="0"/>
        <v>148</v>
      </c>
      <c r="B154" s="13" t="s">
        <v>611</v>
      </c>
      <c r="C154" s="6">
        <v>524823.69999999995</v>
      </c>
      <c r="D154" s="14">
        <v>1293828.2</v>
      </c>
      <c r="E154" s="15"/>
      <c r="F154" s="6" t="s">
        <v>464</v>
      </c>
      <c r="G154" s="21"/>
      <c r="H154" s="12"/>
      <c r="I154" s="12"/>
      <c r="J154" s="12"/>
      <c r="K154" s="18"/>
      <c r="M154" s="19">
        <v>50000</v>
      </c>
      <c r="N154" s="20"/>
      <c r="Q154" s="2"/>
      <c r="R154" s="2"/>
    </row>
    <row r="155" spans="1:18" ht="39" customHeight="1" x14ac:dyDescent="0.15">
      <c r="A155" s="12">
        <f t="shared" si="0"/>
        <v>149</v>
      </c>
      <c r="B155" s="13" t="s">
        <v>612</v>
      </c>
      <c r="C155" s="6">
        <v>521553.56</v>
      </c>
      <c r="D155" s="14">
        <v>264843.56</v>
      </c>
      <c r="E155" s="15"/>
      <c r="F155" s="6" t="s">
        <v>464</v>
      </c>
      <c r="G155" s="21"/>
      <c r="H155" s="12"/>
      <c r="I155" s="12"/>
      <c r="J155" s="12"/>
      <c r="K155" s="18"/>
      <c r="M155" s="19">
        <v>1445000</v>
      </c>
      <c r="N155" s="20"/>
      <c r="Q155" s="2"/>
      <c r="R155" s="2"/>
    </row>
    <row r="156" spans="1:18" ht="39" customHeight="1" x14ac:dyDescent="0.15">
      <c r="A156" s="12">
        <f t="shared" si="0"/>
        <v>150</v>
      </c>
      <c r="B156" s="13" t="s">
        <v>613</v>
      </c>
      <c r="C156" s="6">
        <v>514125.25</v>
      </c>
      <c r="D156" s="14">
        <v>696893.39</v>
      </c>
      <c r="E156" s="15"/>
      <c r="F156" s="6" t="s">
        <v>464</v>
      </c>
      <c r="G156" s="12"/>
      <c r="H156" s="12"/>
      <c r="I156" s="12"/>
      <c r="J156" s="12"/>
      <c r="K156" s="18"/>
      <c r="M156" s="19">
        <v>235000</v>
      </c>
      <c r="N156" s="20"/>
      <c r="Q156" s="2"/>
      <c r="R156" s="2"/>
    </row>
    <row r="157" spans="1:18" ht="39" customHeight="1" x14ac:dyDescent="0.15">
      <c r="A157" s="12">
        <f t="shared" si="0"/>
        <v>151</v>
      </c>
      <c r="B157" s="13" t="s">
        <v>614</v>
      </c>
      <c r="C157" s="6">
        <v>497844.98</v>
      </c>
      <c r="D157" s="14">
        <v>552844.98</v>
      </c>
      <c r="E157" s="15"/>
      <c r="F157" s="6" t="s">
        <v>464</v>
      </c>
      <c r="G157" s="21"/>
      <c r="H157" s="12"/>
      <c r="I157" s="12"/>
      <c r="J157" s="12"/>
      <c r="K157" s="18"/>
      <c r="M157" s="19">
        <v>55000</v>
      </c>
      <c r="N157" s="20"/>
      <c r="Q157" s="2"/>
      <c r="R157" s="2"/>
    </row>
    <row r="158" spans="1:18" ht="39" customHeight="1" x14ac:dyDescent="0.15">
      <c r="A158" s="12">
        <f t="shared" si="0"/>
        <v>152</v>
      </c>
      <c r="B158" s="13" t="s">
        <v>615</v>
      </c>
      <c r="C158" s="6">
        <v>496777.53</v>
      </c>
      <c r="D158" s="14">
        <v>771177.53</v>
      </c>
      <c r="E158" s="15"/>
      <c r="F158" s="6" t="s">
        <v>464</v>
      </c>
      <c r="G158" s="21"/>
      <c r="H158" s="12"/>
      <c r="I158" s="12"/>
      <c r="J158" s="12"/>
      <c r="K158" s="18"/>
      <c r="M158" s="19">
        <v>980000</v>
      </c>
      <c r="N158" s="20"/>
      <c r="Q158" s="2"/>
      <c r="R158" s="2"/>
    </row>
    <row r="159" spans="1:18" ht="39" customHeight="1" x14ac:dyDescent="0.15">
      <c r="A159" s="12">
        <f t="shared" si="0"/>
        <v>153</v>
      </c>
      <c r="B159" s="13" t="s">
        <v>616</v>
      </c>
      <c r="C159" s="6">
        <v>490917.95</v>
      </c>
      <c r="D159" s="14">
        <v>490917.95</v>
      </c>
      <c r="E159" s="15"/>
      <c r="F159" s="6" t="s">
        <v>464</v>
      </c>
      <c r="G159" s="21"/>
      <c r="H159" s="12"/>
      <c r="I159" s="12"/>
      <c r="J159" s="12"/>
      <c r="K159" s="18"/>
      <c r="M159" s="19">
        <v>0</v>
      </c>
      <c r="N159" s="20"/>
      <c r="Q159" s="2"/>
      <c r="R159" s="2"/>
    </row>
    <row r="160" spans="1:18" ht="39" customHeight="1" x14ac:dyDescent="0.15">
      <c r="A160" s="12">
        <f t="shared" si="0"/>
        <v>154</v>
      </c>
      <c r="B160" s="13" t="s">
        <v>617</v>
      </c>
      <c r="C160" s="6">
        <v>480066.88</v>
      </c>
      <c r="D160" s="14">
        <v>2830066.88</v>
      </c>
      <c r="E160" s="15"/>
      <c r="F160" s="6" t="s">
        <v>464</v>
      </c>
      <c r="G160" s="21"/>
      <c r="H160" s="12"/>
      <c r="I160" s="12"/>
      <c r="J160" s="12"/>
      <c r="K160" s="18"/>
      <c r="M160" s="19">
        <v>2350000</v>
      </c>
      <c r="N160" s="20"/>
      <c r="Q160" s="2"/>
      <c r="R160" s="2"/>
    </row>
    <row r="161" spans="1:18" ht="39" customHeight="1" x14ac:dyDescent="0.15">
      <c r="A161" s="12">
        <f t="shared" si="0"/>
        <v>155</v>
      </c>
      <c r="B161" s="13" t="s">
        <v>618</v>
      </c>
      <c r="C161" s="6">
        <v>479059.91000000003</v>
      </c>
      <c r="D161" s="14">
        <v>679059.91</v>
      </c>
      <c r="E161" s="15"/>
      <c r="F161" s="6" t="s">
        <v>464</v>
      </c>
      <c r="G161" s="12"/>
      <c r="H161" s="12"/>
      <c r="I161" s="12"/>
      <c r="J161" s="12"/>
      <c r="K161" s="18"/>
      <c r="M161" s="19">
        <v>200000</v>
      </c>
      <c r="N161" s="20"/>
      <c r="Q161" s="2"/>
      <c r="R161" s="2"/>
    </row>
    <row r="162" spans="1:18" ht="39" customHeight="1" x14ac:dyDescent="0.15">
      <c r="A162" s="12">
        <f t="shared" si="0"/>
        <v>156</v>
      </c>
      <c r="B162" s="13" t="s">
        <v>619</v>
      </c>
      <c r="C162" s="6">
        <v>472801.39</v>
      </c>
      <c r="D162" s="14">
        <v>2546316.17</v>
      </c>
      <c r="E162" s="15"/>
      <c r="F162" s="6" t="s">
        <v>464</v>
      </c>
      <c r="G162" s="12"/>
      <c r="H162" s="12"/>
      <c r="I162" s="12"/>
      <c r="J162" s="12"/>
      <c r="K162" s="18"/>
      <c r="M162" s="19">
        <v>8684389</v>
      </c>
      <c r="N162" s="20"/>
      <c r="Q162" s="2"/>
      <c r="R162" s="2"/>
    </row>
    <row r="163" spans="1:18" ht="39" customHeight="1" x14ac:dyDescent="0.15">
      <c r="A163" s="12">
        <f t="shared" si="0"/>
        <v>157</v>
      </c>
      <c r="B163" s="13" t="s">
        <v>620</v>
      </c>
      <c r="C163" s="6">
        <v>457366.7</v>
      </c>
      <c r="D163" s="14">
        <v>5491.62</v>
      </c>
      <c r="E163" s="15"/>
      <c r="F163" s="6" t="s">
        <v>464</v>
      </c>
      <c r="G163" s="12"/>
      <c r="H163" s="12"/>
      <c r="I163" s="12"/>
      <c r="J163" s="12"/>
      <c r="K163" s="18"/>
      <c r="M163" s="19">
        <v>564500</v>
      </c>
      <c r="N163" s="20"/>
      <c r="Q163" s="2"/>
      <c r="R163" s="2"/>
    </row>
    <row r="164" spans="1:18" ht="39" customHeight="1" x14ac:dyDescent="0.15">
      <c r="A164" s="12">
        <f t="shared" si="0"/>
        <v>158</v>
      </c>
      <c r="B164" s="13" t="s">
        <v>621</v>
      </c>
      <c r="C164" s="6">
        <v>457069.35000000003</v>
      </c>
      <c r="D164" s="14">
        <v>2086598.34</v>
      </c>
      <c r="E164" s="15"/>
      <c r="F164" s="6" t="s">
        <v>464</v>
      </c>
      <c r="G164" s="21"/>
      <c r="H164" s="12"/>
      <c r="I164" s="12"/>
      <c r="J164" s="12"/>
      <c r="K164" s="18"/>
      <c r="M164" s="19">
        <v>650000</v>
      </c>
      <c r="N164" s="20"/>
      <c r="Q164" s="2"/>
      <c r="R164" s="2"/>
    </row>
    <row r="165" spans="1:18" ht="39" customHeight="1" x14ac:dyDescent="0.15">
      <c r="A165" s="12">
        <f t="shared" si="0"/>
        <v>159</v>
      </c>
      <c r="B165" s="13" t="s">
        <v>622</v>
      </c>
      <c r="C165" s="6">
        <v>444797.66000000003</v>
      </c>
      <c r="D165" s="14">
        <v>810681.46</v>
      </c>
      <c r="E165" s="15"/>
      <c r="F165" s="6" t="s">
        <v>464</v>
      </c>
      <c r="G165" s="21"/>
      <c r="H165" s="12"/>
      <c r="I165" s="12"/>
      <c r="J165" s="12"/>
      <c r="K165" s="18"/>
      <c r="M165" s="19">
        <v>4774000</v>
      </c>
      <c r="N165" s="20"/>
      <c r="Q165" s="2"/>
      <c r="R165" s="2"/>
    </row>
    <row r="166" spans="1:18" ht="39" customHeight="1" x14ac:dyDescent="0.15">
      <c r="A166" s="12">
        <f t="shared" si="0"/>
        <v>160</v>
      </c>
      <c r="B166" s="13" t="s">
        <v>623</v>
      </c>
      <c r="C166" s="6">
        <v>444647.28</v>
      </c>
      <c r="D166" s="14">
        <v>140167.28</v>
      </c>
      <c r="E166" s="15"/>
      <c r="F166" s="6" t="s">
        <v>462</v>
      </c>
      <c r="G166" s="21"/>
      <c r="H166" s="12"/>
      <c r="I166" s="12"/>
      <c r="J166" s="12"/>
      <c r="K166" s="18"/>
      <c r="M166" s="19">
        <v>240000</v>
      </c>
      <c r="N166" s="20"/>
      <c r="Q166" s="2"/>
      <c r="R166" s="2"/>
    </row>
    <row r="167" spans="1:18" ht="39" customHeight="1" x14ac:dyDescent="0.15">
      <c r="A167" s="12">
        <f t="shared" si="0"/>
        <v>161</v>
      </c>
      <c r="B167" s="13" t="s">
        <v>624</v>
      </c>
      <c r="C167" s="6">
        <v>442550.79000000004</v>
      </c>
      <c r="D167" s="14">
        <v>442550.79000000004</v>
      </c>
      <c r="E167" s="8" t="s">
        <v>530</v>
      </c>
      <c r="F167" s="6"/>
      <c r="G167" s="21"/>
      <c r="H167" s="12"/>
      <c r="I167" s="12"/>
      <c r="J167" s="12"/>
      <c r="K167" s="18"/>
      <c r="M167" s="19">
        <v>0</v>
      </c>
      <c r="N167" s="20"/>
      <c r="Q167" s="2"/>
      <c r="R167" s="2"/>
    </row>
    <row r="168" spans="1:18" ht="39" customHeight="1" x14ac:dyDescent="0.15">
      <c r="A168" s="12">
        <f t="shared" si="0"/>
        <v>162</v>
      </c>
      <c r="B168" s="13" t="s">
        <v>625</v>
      </c>
      <c r="C168" s="6">
        <v>439889.61</v>
      </c>
      <c r="D168" s="14">
        <v>509889.61</v>
      </c>
      <c r="E168" s="15"/>
      <c r="F168" s="6" t="s">
        <v>464</v>
      </c>
      <c r="G168" s="21"/>
      <c r="H168" s="12"/>
      <c r="I168" s="12"/>
      <c r="J168" s="12"/>
      <c r="K168" s="18"/>
      <c r="M168" s="19">
        <v>70000</v>
      </c>
      <c r="N168" s="20"/>
      <c r="Q168" s="2"/>
      <c r="R168" s="2"/>
    </row>
    <row r="169" spans="1:18" ht="39" customHeight="1" x14ac:dyDescent="0.15">
      <c r="A169" s="12">
        <f t="shared" si="0"/>
        <v>163</v>
      </c>
      <c r="B169" s="13" t="s">
        <v>626</v>
      </c>
      <c r="C169" s="6">
        <v>427993.23</v>
      </c>
      <c r="D169" s="14">
        <v>1955639.93</v>
      </c>
      <c r="E169" s="15"/>
      <c r="F169" s="6" t="s">
        <v>462</v>
      </c>
      <c r="G169" s="21"/>
      <c r="H169" s="12"/>
      <c r="I169" s="12"/>
      <c r="J169" s="12"/>
      <c r="K169" s="18"/>
      <c r="M169" s="19">
        <v>2100000</v>
      </c>
      <c r="N169" s="20"/>
      <c r="Q169" s="2"/>
      <c r="R169" s="2"/>
    </row>
    <row r="170" spans="1:18" ht="39" customHeight="1" x14ac:dyDescent="0.15">
      <c r="A170" s="12">
        <f t="shared" si="0"/>
        <v>164</v>
      </c>
      <c r="B170" s="13" t="s">
        <v>627</v>
      </c>
      <c r="C170" s="6">
        <v>426882.34</v>
      </c>
      <c r="D170" s="14">
        <v>227459.23</v>
      </c>
      <c r="E170" s="15"/>
      <c r="F170" s="6" t="s">
        <v>464</v>
      </c>
      <c r="G170" s="21"/>
      <c r="H170" s="12"/>
      <c r="I170" s="12"/>
      <c r="J170" s="17"/>
      <c r="K170" s="18"/>
      <c r="M170" s="19">
        <v>755000</v>
      </c>
      <c r="N170" s="20"/>
      <c r="Q170" s="2"/>
      <c r="R170" s="2"/>
    </row>
    <row r="171" spans="1:18" ht="39" customHeight="1" x14ac:dyDescent="0.15">
      <c r="A171" s="12">
        <f t="shared" si="0"/>
        <v>165</v>
      </c>
      <c r="B171" s="13" t="s">
        <v>628</v>
      </c>
      <c r="C171" s="6">
        <v>426300</v>
      </c>
      <c r="D171" s="14">
        <v>0</v>
      </c>
      <c r="E171" s="15"/>
      <c r="F171" s="6" t="s">
        <v>464</v>
      </c>
      <c r="G171" s="12"/>
      <c r="H171" s="12"/>
      <c r="I171" s="12"/>
      <c r="J171" s="12"/>
      <c r="K171" s="18"/>
      <c r="M171" s="19">
        <v>0</v>
      </c>
      <c r="N171" s="20"/>
      <c r="Q171" s="2"/>
      <c r="R171" s="2"/>
    </row>
    <row r="172" spans="1:18" ht="39" customHeight="1" x14ac:dyDescent="0.15">
      <c r="A172" s="12">
        <f t="shared" si="0"/>
        <v>166</v>
      </c>
      <c r="B172" s="13" t="s">
        <v>629</v>
      </c>
      <c r="C172" s="6">
        <v>420687.11</v>
      </c>
      <c r="D172" s="14">
        <v>420687.11</v>
      </c>
      <c r="E172" s="8" t="s">
        <v>530</v>
      </c>
      <c r="F172" s="6"/>
      <c r="G172" s="12"/>
      <c r="H172" s="12"/>
      <c r="I172" s="12"/>
      <c r="J172" s="12"/>
      <c r="K172" s="18"/>
      <c r="M172" s="19">
        <v>0</v>
      </c>
      <c r="N172" s="20"/>
      <c r="Q172" s="2"/>
      <c r="R172" s="2"/>
    </row>
    <row r="173" spans="1:18" ht="39" customHeight="1" x14ac:dyDescent="0.15">
      <c r="A173" s="12">
        <f t="shared" si="0"/>
        <v>167</v>
      </c>
      <c r="B173" s="13" t="s">
        <v>630</v>
      </c>
      <c r="C173" s="6">
        <v>397534.11</v>
      </c>
      <c r="D173" s="14">
        <v>397534.11</v>
      </c>
      <c r="E173" s="8" t="s">
        <v>530</v>
      </c>
      <c r="F173" s="6"/>
      <c r="G173" s="21"/>
      <c r="H173" s="12"/>
      <c r="I173" s="12"/>
      <c r="J173" s="12"/>
      <c r="K173" s="18"/>
      <c r="M173" s="19">
        <v>0</v>
      </c>
      <c r="N173" s="20"/>
      <c r="Q173" s="2"/>
      <c r="R173" s="2"/>
    </row>
    <row r="174" spans="1:18" ht="39" customHeight="1" x14ac:dyDescent="0.15">
      <c r="A174" s="12">
        <f t="shared" si="0"/>
        <v>168</v>
      </c>
      <c r="B174" s="13" t="s">
        <v>631</v>
      </c>
      <c r="C174" s="6">
        <v>394595</v>
      </c>
      <c r="D174" s="14">
        <v>206480</v>
      </c>
      <c r="E174" s="15"/>
      <c r="F174" s="6" t="s">
        <v>462</v>
      </c>
      <c r="G174" s="21"/>
      <c r="H174" s="12"/>
      <c r="I174" s="12"/>
      <c r="J174" s="12"/>
      <c r="K174" s="18"/>
      <c r="M174" s="19">
        <v>450000</v>
      </c>
      <c r="N174" s="20"/>
      <c r="Q174" s="2"/>
      <c r="R174" s="2"/>
    </row>
    <row r="175" spans="1:18" ht="39" customHeight="1" x14ac:dyDescent="0.15">
      <c r="A175" s="12">
        <f t="shared" si="0"/>
        <v>169</v>
      </c>
      <c r="B175" s="13" t="s">
        <v>632</v>
      </c>
      <c r="C175" s="6">
        <v>377630.12</v>
      </c>
      <c r="D175" s="14">
        <v>377630.12</v>
      </c>
      <c r="E175" s="15"/>
      <c r="F175" s="6" t="s">
        <v>462</v>
      </c>
      <c r="G175" s="21"/>
      <c r="H175" s="12"/>
      <c r="I175" s="12"/>
      <c r="J175" s="17"/>
      <c r="K175" s="18"/>
      <c r="M175" s="19">
        <v>0</v>
      </c>
      <c r="N175" s="20"/>
      <c r="Q175" s="2"/>
      <c r="R175" s="2"/>
    </row>
    <row r="176" spans="1:18" ht="39" customHeight="1" x14ac:dyDescent="0.15">
      <c r="A176" s="12">
        <f t="shared" si="0"/>
        <v>170</v>
      </c>
      <c r="B176" s="13" t="s">
        <v>633</v>
      </c>
      <c r="C176" s="6">
        <v>377413.49</v>
      </c>
      <c r="D176" s="14">
        <v>130673.49</v>
      </c>
      <c r="E176" s="15"/>
      <c r="F176" s="6" t="s">
        <v>464</v>
      </c>
      <c r="G176" s="16"/>
      <c r="H176" s="12"/>
      <c r="I176" s="12"/>
      <c r="J176" s="12"/>
      <c r="K176" s="18"/>
      <c r="M176" s="19">
        <v>225000</v>
      </c>
      <c r="N176" s="20"/>
      <c r="Q176" s="2"/>
      <c r="R176" s="2"/>
    </row>
    <row r="177" spans="1:18" ht="39" customHeight="1" x14ac:dyDescent="0.15">
      <c r="A177" s="12">
        <f t="shared" si="0"/>
        <v>171</v>
      </c>
      <c r="B177" s="13" t="s">
        <v>634</v>
      </c>
      <c r="C177" s="6">
        <v>373690</v>
      </c>
      <c r="D177" s="14">
        <v>254000</v>
      </c>
      <c r="E177" s="15"/>
      <c r="F177" s="6" t="s">
        <v>464</v>
      </c>
      <c r="G177" s="21"/>
      <c r="H177" s="12"/>
      <c r="I177" s="12"/>
      <c r="J177" s="17"/>
      <c r="K177" s="18"/>
      <c r="M177" s="19">
        <v>1268180</v>
      </c>
      <c r="N177" s="20"/>
      <c r="Q177" s="2"/>
      <c r="R177" s="2"/>
    </row>
    <row r="178" spans="1:18" ht="39" customHeight="1" x14ac:dyDescent="0.15">
      <c r="A178" s="12">
        <f t="shared" si="0"/>
        <v>172</v>
      </c>
      <c r="B178" s="13" t="s">
        <v>635</v>
      </c>
      <c r="C178" s="6">
        <v>362367.79</v>
      </c>
      <c r="D178" s="14">
        <v>632271.5</v>
      </c>
      <c r="E178" s="15"/>
      <c r="F178" s="6" t="s">
        <v>464</v>
      </c>
      <c r="G178" s="12"/>
      <c r="H178" s="12"/>
      <c r="I178" s="12"/>
      <c r="J178" s="12"/>
      <c r="K178" s="18"/>
      <c r="M178" s="19">
        <v>95000</v>
      </c>
      <c r="N178" s="20"/>
      <c r="Q178" s="2"/>
      <c r="R178" s="2"/>
    </row>
    <row r="179" spans="1:18" ht="39" customHeight="1" x14ac:dyDescent="0.15">
      <c r="A179" s="12">
        <f t="shared" si="0"/>
        <v>173</v>
      </c>
      <c r="B179" s="13" t="s">
        <v>636</v>
      </c>
      <c r="C179" s="6">
        <v>353637.55</v>
      </c>
      <c r="D179" s="14">
        <v>175176.65</v>
      </c>
      <c r="E179" s="15"/>
      <c r="F179" s="6" t="s">
        <v>462</v>
      </c>
      <c r="G179" s="21"/>
      <c r="H179" s="12"/>
      <c r="I179" s="12"/>
      <c r="J179" s="12"/>
      <c r="K179" s="18"/>
      <c r="M179" s="19">
        <v>325000</v>
      </c>
      <c r="N179" s="20"/>
      <c r="Q179" s="2"/>
      <c r="R179" s="2"/>
    </row>
    <row r="180" spans="1:18" ht="39" customHeight="1" x14ac:dyDescent="0.15">
      <c r="A180" s="12">
        <f t="shared" si="0"/>
        <v>174</v>
      </c>
      <c r="B180" s="13" t="s">
        <v>637</v>
      </c>
      <c r="C180" s="6">
        <v>351660</v>
      </c>
      <c r="D180" s="14">
        <v>130960</v>
      </c>
      <c r="E180" s="15"/>
      <c r="F180" s="6" t="s">
        <v>462</v>
      </c>
      <c r="G180" s="12"/>
      <c r="H180" s="12"/>
      <c r="I180" s="12"/>
      <c r="J180" s="12"/>
      <c r="K180" s="18"/>
      <c r="M180" s="19">
        <v>330000</v>
      </c>
      <c r="N180" s="20"/>
      <c r="Q180" s="2"/>
      <c r="R180" s="2"/>
    </row>
    <row r="181" spans="1:18" ht="39" customHeight="1" x14ac:dyDescent="0.15">
      <c r="A181" s="12">
        <f t="shared" si="0"/>
        <v>175</v>
      </c>
      <c r="B181" s="13" t="s">
        <v>638</v>
      </c>
      <c r="C181" s="6">
        <v>349395.53</v>
      </c>
      <c r="D181" s="14">
        <v>349395.53</v>
      </c>
      <c r="E181" s="8" t="s">
        <v>530</v>
      </c>
      <c r="F181" s="6"/>
      <c r="G181" s="21"/>
      <c r="H181" s="12"/>
      <c r="I181" s="12"/>
      <c r="J181" s="17"/>
      <c r="K181" s="18"/>
      <c r="M181" s="19">
        <v>0</v>
      </c>
      <c r="N181" s="20"/>
      <c r="Q181" s="2"/>
      <c r="R181" s="2"/>
    </row>
    <row r="182" spans="1:18" ht="39" customHeight="1" x14ac:dyDescent="0.15">
      <c r="A182" s="12">
        <f t="shared" si="0"/>
        <v>176</v>
      </c>
      <c r="B182" s="13" t="s">
        <v>639</v>
      </c>
      <c r="C182" s="6">
        <v>347353.05</v>
      </c>
      <c r="D182" s="14">
        <v>2770376.17</v>
      </c>
      <c r="E182" s="15"/>
      <c r="F182" s="6" t="s">
        <v>464</v>
      </c>
      <c r="G182" s="12"/>
      <c r="H182" s="12"/>
      <c r="I182" s="12"/>
      <c r="J182" s="12"/>
      <c r="K182" s="18"/>
      <c r="M182" s="19">
        <v>2465312</v>
      </c>
      <c r="N182" s="20"/>
      <c r="Q182" s="2"/>
      <c r="R182" s="2"/>
    </row>
    <row r="183" spans="1:18" ht="39" customHeight="1" x14ac:dyDescent="0.15">
      <c r="A183" s="12">
        <f t="shared" si="0"/>
        <v>177</v>
      </c>
      <c r="B183" s="13" t="s">
        <v>640</v>
      </c>
      <c r="C183" s="6">
        <v>346313.01</v>
      </c>
      <c r="D183" s="14">
        <v>0</v>
      </c>
      <c r="E183" s="15"/>
      <c r="F183" s="6" t="s">
        <v>464</v>
      </c>
      <c r="G183" s="21"/>
      <c r="H183" s="12"/>
      <c r="I183" s="12"/>
      <c r="J183" s="12"/>
      <c r="K183" s="18"/>
      <c r="M183" s="19">
        <v>180000</v>
      </c>
      <c r="N183" s="20"/>
      <c r="Q183" s="2"/>
      <c r="R183" s="2"/>
    </row>
    <row r="184" spans="1:18" ht="39" customHeight="1" x14ac:dyDescent="0.15">
      <c r="A184" s="12">
        <f t="shared" si="0"/>
        <v>178</v>
      </c>
      <c r="B184" s="13" t="s">
        <v>641</v>
      </c>
      <c r="C184" s="6">
        <v>340684.34</v>
      </c>
      <c r="D184" s="14">
        <v>340684.34</v>
      </c>
      <c r="E184" s="15"/>
      <c r="F184" s="6" t="s">
        <v>464</v>
      </c>
      <c r="G184" s="21"/>
      <c r="H184" s="12"/>
      <c r="I184" s="12"/>
      <c r="J184" s="12"/>
      <c r="K184" s="18"/>
      <c r="M184" s="19">
        <v>0</v>
      </c>
      <c r="N184" s="20"/>
      <c r="Q184" s="2"/>
      <c r="R184" s="2"/>
    </row>
    <row r="185" spans="1:18" ht="39" customHeight="1" x14ac:dyDescent="0.15">
      <c r="A185" s="12">
        <f t="shared" si="0"/>
        <v>179</v>
      </c>
      <c r="B185" s="13" t="s">
        <v>642</v>
      </c>
      <c r="C185" s="6">
        <v>339884.01</v>
      </c>
      <c r="D185" s="14">
        <v>339884.01</v>
      </c>
      <c r="E185" s="15"/>
      <c r="F185" s="6" t="s">
        <v>464</v>
      </c>
      <c r="G185" s="12"/>
      <c r="H185" s="12"/>
      <c r="I185" s="12"/>
      <c r="J185" s="12"/>
      <c r="K185" s="18"/>
      <c r="M185" s="19">
        <v>0</v>
      </c>
      <c r="N185" s="20"/>
      <c r="Q185" s="2"/>
      <c r="R185" s="2"/>
    </row>
    <row r="186" spans="1:18" ht="39" customHeight="1" x14ac:dyDescent="0.15">
      <c r="A186" s="12">
        <f t="shared" si="0"/>
        <v>180</v>
      </c>
      <c r="B186" s="13" t="s">
        <v>643</v>
      </c>
      <c r="C186" s="6">
        <v>335371.7</v>
      </c>
      <c r="D186" s="14">
        <v>456271.67</v>
      </c>
      <c r="E186" s="15"/>
      <c r="F186" s="6" t="s">
        <v>462</v>
      </c>
      <c r="G186" s="21"/>
      <c r="H186" s="12"/>
      <c r="I186" s="12"/>
      <c r="J186" s="12"/>
      <c r="K186" s="18"/>
      <c r="M186" s="19">
        <v>100000</v>
      </c>
      <c r="N186" s="20"/>
      <c r="Q186" s="2"/>
      <c r="R186" s="2"/>
    </row>
    <row r="187" spans="1:18" ht="39" customHeight="1" x14ac:dyDescent="0.15">
      <c r="A187" s="12">
        <f t="shared" si="0"/>
        <v>181</v>
      </c>
      <c r="B187" s="13" t="s">
        <v>644</v>
      </c>
      <c r="C187" s="6">
        <v>327781</v>
      </c>
      <c r="D187" s="14">
        <v>327781</v>
      </c>
      <c r="E187" s="8" t="s">
        <v>530</v>
      </c>
      <c r="F187" s="6"/>
      <c r="G187" s="21"/>
      <c r="H187" s="12"/>
      <c r="I187" s="12"/>
      <c r="J187" s="12"/>
      <c r="K187" s="18"/>
      <c r="M187" s="19">
        <v>0</v>
      </c>
      <c r="N187" s="20"/>
      <c r="Q187" s="2"/>
      <c r="R187" s="2"/>
    </row>
    <row r="188" spans="1:18" ht="39" customHeight="1" x14ac:dyDescent="0.15">
      <c r="A188" s="12">
        <f t="shared" si="0"/>
        <v>182</v>
      </c>
      <c r="B188" s="13" t="s">
        <v>645</v>
      </c>
      <c r="C188" s="6">
        <v>326570.37</v>
      </c>
      <c r="D188" s="14">
        <v>171110.42</v>
      </c>
      <c r="E188" s="15"/>
      <c r="F188" s="6" t="s">
        <v>464</v>
      </c>
      <c r="G188" s="21"/>
      <c r="H188" s="12"/>
      <c r="I188" s="12"/>
      <c r="J188" s="12"/>
      <c r="K188" s="18"/>
      <c r="M188" s="19">
        <v>1115000</v>
      </c>
      <c r="N188" s="20"/>
      <c r="Q188" s="2"/>
      <c r="R188" s="2"/>
    </row>
    <row r="189" spans="1:18" ht="39" customHeight="1" x14ac:dyDescent="0.15">
      <c r="A189" s="12">
        <f t="shared" si="0"/>
        <v>183</v>
      </c>
      <c r="B189" s="13" t="s">
        <v>646</v>
      </c>
      <c r="C189" s="6">
        <v>326400.34999999998</v>
      </c>
      <c r="D189" s="14">
        <v>2266460.35</v>
      </c>
      <c r="E189" s="15"/>
      <c r="F189" s="6" t="s">
        <v>464</v>
      </c>
      <c r="G189" s="12"/>
      <c r="H189" s="12"/>
      <c r="I189" s="12"/>
      <c r="J189" s="12"/>
      <c r="K189" s="18"/>
      <c r="M189" s="19">
        <v>5238180</v>
      </c>
      <c r="N189" s="20"/>
      <c r="Q189" s="2"/>
      <c r="R189" s="2"/>
    </row>
    <row r="190" spans="1:18" ht="39" customHeight="1" x14ac:dyDescent="0.15">
      <c r="A190" s="12">
        <f t="shared" si="0"/>
        <v>184</v>
      </c>
      <c r="B190" s="13" t="s">
        <v>647</v>
      </c>
      <c r="C190" s="6">
        <v>325824.8</v>
      </c>
      <c r="D190" s="14">
        <v>692690.16</v>
      </c>
      <c r="E190" s="15"/>
      <c r="F190" s="6" t="s">
        <v>464</v>
      </c>
      <c r="G190" s="21"/>
      <c r="H190" s="12"/>
      <c r="I190" s="12"/>
      <c r="J190" s="12"/>
      <c r="K190" s="18"/>
      <c r="M190" s="19">
        <v>350000</v>
      </c>
      <c r="N190" s="20"/>
      <c r="Q190" s="2"/>
      <c r="R190" s="2"/>
    </row>
    <row r="191" spans="1:18" ht="39" customHeight="1" x14ac:dyDescent="0.15">
      <c r="A191" s="12">
        <f t="shared" si="0"/>
        <v>185</v>
      </c>
      <c r="B191" s="13" t="s">
        <v>648</v>
      </c>
      <c r="C191" s="6">
        <v>323417.27</v>
      </c>
      <c r="D191" s="14">
        <v>536842.55000000005</v>
      </c>
      <c r="E191" s="15"/>
      <c r="F191" s="6" t="s">
        <v>464</v>
      </c>
      <c r="G191" s="21"/>
      <c r="H191" s="23"/>
      <c r="I191" s="12"/>
      <c r="J191" s="12"/>
      <c r="K191" s="18"/>
      <c r="M191" s="19">
        <v>405500</v>
      </c>
      <c r="N191" s="20"/>
      <c r="Q191" s="2"/>
      <c r="R191" s="2"/>
    </row>
    <row r="192" spans="1:18" ht="39" customHeight="1" x14ac:dyDescent="0.15">
      <c r="A192" s="12">
        <f t="shared" si="0"/>
        <v>186</v>
      </c>
      <c r="B192" s="13" t="s">
        <v>649</v>
      </c>
      <c r="C192" s="6">
        <v>318660</v>
      </c>
      <c r="D192" s="14">
        <v>318660</v>
      </c>
      <c r="E192" s="8" t="s">
        <v>530</v>
      </c>
      <c r="F192" s="6"/>
      <c r="G192" s="21"/>
      <c r="H192" s="12"/>
      <c r="I192" s="12"/>
      <c r="J192" s="12"/>
      <c r="K192" s="18"/>
      <c r="M192" s="19">
        <v>0</v>
      </c>
      <c r="N192" s="20"/>
      <c r="Q192" s="2"/>
      <c r="R192" s="2"/>
    </row>
    <row r="193" spans="1:18" ht="39" customHeight="1" x14ac:dyDescent="0.15">
      <c r="A193" s="12">
        <f t="shared" si="0"/>
        <v>187</v>
      </c>
      <c r="B193" s="13" t="s">
        <v>650</v>
      </c>
      <c r="C193" s="6">
        <v>314340.88</v>
      </c>
      <c r="D193" s="14">
        <v>314340.88</v>
      </c>
      <c r="E193" s="8" t="s">
        <v>530</v>
      </c>
      <c r="F193" s="6"/>
      <c r="G193" s="12"/>
      <c r="H193" s="12"/>
      <c r="I193" s="12"/>
      <c r="J193" s="12"/>
      <c r="K193" s="18"/>
      <c r="M193" s="19">
        <v>0</v>
      </c>
      <c r="N193" s="20"/>
      <c r="Q193" s="2"/>
      <c r="R193" s="2"/>
    </row>
    <row r="194" spans="1:18" ht="39" customHeight="1" x14ac:dyDescent="0.15">
      <c r="A194" s="12">
        <f t="shared" si="0"/>
        <v>188</v>
      </c>
      <c r="B194" s="13" t="s">
        <v>651</v>
      </c>
      <c r="C194" s="6">
        <v>298740.21000000002</v>
      </c>
      <c r="D194" s="14">
        <v>6.91</v>
      </c>
      <c r="E194" s="15"/>
      <c r="F194" s="6" t="s">
        <v>464</v>
      </c>
      <c r="G194" s="21"/>
      <c r="H194" s="12"/>
      <c r="I194" s="12"/>
      <c r="J194" s="12"/>
      <c r="K194" s="18"/>
      <c r="M194" s="19">
        <v>750000</v>
      </c>
      <c r="N194" s="20"/>
      <c r="Q194" s="2"/>
      <c r="R194" s="2"/>
    </row>
    <row r="195" spans="1:18" ht="39" customHeight="1" x14ac:dyDescent="0.15">
      <c r="A195" s="12">
        <f t="shared" si="0"/>
        <v>189</v>
      </c>
      <c r="B195" s="13" t="s">
        <v>652</v>
      </c>
      <c r="C195" s="6">
        <v>291606.94</v>
      </c>
      <c r="D195" s="14">
        <v>1455837.97</v>
      </c>
      <c r="E195" s="15"/>
      <c r="F195" s="6" t="s">
        <v>464</v>
      </c>
      <c r="G195" s="21"/>
      <c r="H195" s="12"/>
      <c r="I195" s="12"/>
      <c r="J195" s="12"/>
      <c r="K195" s="18"/>
      <c r="M195" s="19">
        <v>850000</v>
      </c>
      <c r="N195" s="20"/>
      <c r="Q195" s="2"/>
      <c r="R195" s="2"/>
    </row>
    <row r="196" spans="1:18" ht="39" customHeight="1" x14ac:dyDescent="0.15">
      <c r="A196" s="12">
        <f t="shared" si="0"/>
        <v>190</v>
      </c>
      <c r="B196" s="13" t="s">
        <v>653</v>
      </c>
      <c r="C196" s="6">
        <v>288352.14</v>
      </c>
      <c r="D196" s="14">
        <v>353852.14</v>
      </c>
      <c r="E196" s="15"/>
      <c r="F196" s="6" t="s">
        <v>464</v>
      </c>
      <c r="G196" s="16"/>
      <c r="H196" s="12"/>
      <c r="I196" s="12"/>
      <c r="J196" s="12"/>
      <c r="K196" s="18"/>
      <c r="M196" s="19">
        <v>65500</v>
      </c>
      <c r="N196" s="20"/>
      <c r="Q196" s="2"/>
      <c r="R196" s="2"/>
    </row>
    <row r="197" spans="1:18" ht="39" customHeight="1" x14ac:dyDescent="0.15">
      <c r="A197" s="12">
        <f t="shared" si="0"/>
        <v>191</v>
      </c>
      <c r="B197" s="13" t="s">
        <v>654</v>
      </c>
      <c r="C197" s="6">
        <v>287818.25</v>
      </c>
      <c r="D197" s="14">
        <v>287818.25</v>
      </c>
      <c r="E197" s="8" t="s">
        <v>530</v>
      </c>
      <c r="F197" s="6"/>
      <c r="G197" s="21"/>
      <c r="H197" s="12"/>
      <c r="I197" s="12"/>
      <c r="J197" s="12"/>
      <c r="K197" s="18"/>
      <c r="M197" s="19">
        <v>0</v>
      </c>
      <c r="N197" s="20"/>
      <c r="Q197" s="2"/>
      <c r="R197" s="2"/>
    </row>
    <row r="198" spans="1:18" ht="39" customHeight="1" x14ac:dyDescent="0.15">
      <c r="A198" s="12">
        <f t="shared" si="0"/>
        <v>192</v>
      </c>
      <c r="B198" s="13" t="s">
        <v>655</v>
      </c>
      <c r="C198" s="6">
        <v>284312.65000000002</v>
      </c>
      <c r="D198" s="14">
        <v>887160</v>
      </c>
      <c r="E198" s="15"/>
      <c r="F198" s="6" t="s">
        <v>464</v>
      </c>
      <c r="G198" s="21"/>
      <c r="H198" s="12"/>
      <c r="I198" s="12"/>
      <c r="J198" s="12"/>
      <c r="K198" s="18"/>
      <c r="M198" s="19">
        <v>530000</v>
      </c>
      <c r="N198" s="20"/>
      <c r="Q198" s="2"/>
      <c r="R198" s="2"/>
    </row>
    <row r="199" spans="1:18" ht="39" customHeight="1" x14ac:dyDescent="0.15">
      <c r="A199" s="12">
        <f t="shared" si="0"/>
        <v>193</v>
      </c>
      <c r="B199" s="13" t="s">
        <v>656</v>
      </c>
      <c r="C199" s="6">
        <v>280303.96999999997</v>
      </c>
      <c r="D199" s="14">
        <v>-0.54</v>
      </c>
      <c r="E199" s="15"/>
      <c r="F199" s="6" t="s">
        <v>464</v>
      </c>
      <c r="G199" s="21"/>
      <c r="H199" s="12"/>
      <c r="I199" s="12"/>
      <c r="J199" s="12"/>
      <c r="K199" s="18"/>
      <c r="M199" s="19">
        <v>1620000</v>
      </c>
      <c r="N199" s="20"/>
      <c r="Q199" s="2"/>
      <c r="R199" s="2"/>
    </row>
    <row r="200" spans="1:18" ht="39" customHeight="1" x14ac:dyDescent="0.15">
      <c r="A200" s="12">
        <f t="shared" si="0"/>
        <v>194</v>
      </c>
      <c r="B200" s="13" t="s">
        <v>657</v>
      </c>
      <c r="C200" s="6">
        <v>279677.14</v>
      </c>
      <c r="D200" s="14">
        <v>279677.14</v>
      </c>
      <c r="E200" s="8" t="s">
        <v>530</v>
      </c>
      <c r="F200" s="6"/>
      <c r="G200" s="21"/>
      <c r="H200" s="12"/>
      <c r="I200" s="12"/>
      <c r="J200" s="17"/>
      <c r="K200" s="18"/>
      <c r="M200" s="19">
        <v>0</v>
      </c>
      <c r="N200" s="20"/>
      <c r="Q200" s="2"/>
      <c r="R200" s="2"/>
    </row>
    <row r="201" spans="1:18" ht="39" customHeight="1" x14ac:dyDescent="0.15">
      <c r="A201" s="12">
        <f t="shared" si="0"/>
        <v>195</v>
      </c>
      <c r="B201" s="13" t="s">
        <v>658</v>
      </c>
      <c r="C201" s="6">
        <v>279078</v>
      </c>
      <c r="D201" s="14">
        <v>546128</v>
      </c>
      <c r="E201" s="15"/>
      <c r="F201" s="6" t="s">
        <v>464</v>
      </c>
      <c r="G201" s="12"/>
      <c r="H201" s="12"/>
      <c r="I201" s="12"/>
      <c r="J201" s="12"/>
      <c r="K201" s="18"/>
      <c r="M201" s="19">
        <v>667000</v>
      </c>
      <c r="N201" s="20"/>
      <c r="Q201" s="2"/>
      <c r="R201" s="2"/>
    </row>
    <row r="202" spans="1:18" ht="39" customHeight="1" x14ac:dyDescent="0.15">
      <c r="A202" s="12">
        <f t="shared" si="0"/>
        <v>196</v>
      </c>
      <c r="B202" s="13" t="s">
        <v>659</v>
      </c>
      <c r="C202" s="6">
        <v>273362.90000000002</v>
      </c>
      <c r="D202" s="14">
        <v>273362.90000000002</v>
      </c>
      <c r="E202" s="15"/>
      <c r="F202" s="6" t="s">
        <v>464</v>
      </c>
      <c r="G202" s="21"/>
      <c r="H202" s="12"/>
      <c r="I202" s="12"/>
      <c r="J202" s="12"/>
      <c r="K202" s="18"/>
      <c r="M202" s="19">
        <v>0</v>
      </c>
      <c r="N202" s="20"/>
      <c r="Q202" s="2"/>
      <c r="R202" s="2"/>
    </row>
    <row r="203" spans="1:18" ht="39" customHeight="1" x14ac:dyDescent="0.15">
      <c r="A203" s="12">
        <f t="shared" si="0"/>
        <v>197</v>
      </c>
      <c r="B203" s="13" t="s">
        <v>660</v>
      </c>
      <c r="C203" s="6">
        <v>272000</v>
      </c>
      <c r="D203" s="14">
        <v>491600</v>
      </c>
      <c r="E203" s="15"/>
      <c r="F203" s="6" t="s">
        <v>462</v>
      </c>
      <c r="G203" s="21"/>
      <c r="H203" s="12"/>
      <c r="I203" s="12"/>
      <c r="J203" s="12"/>
      <c r="K203" s="18"/>
      <c r="M203" s="19">
        <v>491600</v>
      </c>
      <c r="N203" s="20"/>
      <c r="Q203" s="2"/>
      <c r="R203" s="2"/>
    </row>
    <row r="204" spans="1:18" ht="39" customHeight="1" x14ac:dyDescent="0.15">
      <c r="A204" s="12">
        <f t="shared" si="0"/>
        <v>198</v>
      </c>
      <c r="B204" s="13" t="s">
        <v>661</v>
      </c>
      <c r="C204" s="6">
        <v>267600.08</v>
      </c>
      <c r="D204" s="14">
        <v>1226134.96</v>
      </c>
      <c r="E204" s="15"/>
      <c r="F204" s="6" t="s">
        <v>462</v>
      </c>
      <c r="G204" s="12"/>
      <c r="H204" s="12"/>
      <c r="I204" s="12"/>
      <c r="J204" s="12"/>
      <c r="K204" s="18"/>
      <c r="M204" s="19">
        <v>163000</v>
      </c>
      <c r="N204" s="20"/>
      <c r="Q204" s="2"/>
      <c r="R204" s="2"/>
    </row>
    <row r="205" spans="1:18" ht="39" customHeight="1" x14ac:dyDescent="0.15">
      <c r="A205" s="12">
        <f t="shared" si="0"/>
        <v>199</v>
      </c>
      <c r="B205" s="13" t="s">
        <v>662</v>
      </c>
      <c r="C205" s="6">
        <v>261585</v>
      </c>
      <c r="D205" s="14">
        <v>17344</v>
      </c>
      <c r="E205" s="15"/>
      <c r="F205" s="6" t="s">
        <v>464</v>
      </c>
      <c r="G205" s="12"/>
      <c r="H205" s="12"/>
      <c r="I205" s="12"/>
      <c r="J205" s="12"/>
      <c r="K205" s="18"/>
      <c r="M205" s="19">
        <v>327519</v>
      </c>
      <c r="N205" s="20"/>
      <c r="Q205" s="2"/>
      <c r="R205" s="2"/>
    </row>
    <row r="206" spans="1:18" ht="39" customHeight="1" x14ac:dyDescent="0.15">
      <c r="A206" s="12">
        <f t="shared" si="0"/>
        <v>200</v>
      </c>
      <c r="B206" s="13" t="s">
        <v>663</v>
      </c>
      <c r="C206" s="6">
        <v>261511.57</v>
      </c>
      <c r="D206" s="14">
        <v>261511.57</v>
      </c>
      <c r="E206" s="8" t="s">
        <v>530</v>
      </c>
      <c r="F206" s="6"/>
      <c r="G206" s="21"/>
      <c r="H206" s="12"/>
      <c r="I206" s="12"/>
      <c r="J206" s="12"/>
      <c r="K206" s="18"/>
      <c r="M206" s="19">
        <v>0</v>
      </c>
      <c r="N206" s="20"/>
      <c r="Q206" s="2"/>
      <c r="R206" s="2"/>
    </row>
    <row r="207" spans="1:18" ht="39" customHeight="1" x14ac:dyDescent="0.15">
      <c r="A207" s="12">
        <f t="shared" si="0"/>
        <v>201</v>
      </c>
      <c r="B207" s="13" t="s">
        <v>664</v>
      </c>
      <c r="C207" s="6">
        <v>253493.80000000002</v>
      </c>
      <c r="D207" s="14">
        <v>253493.80000000002</v>
      </c>
      <c r="E207" s="8" t="s">
        <v>530</v>
      </c>
      <c r="F207" s="6"/>
      <c r="G207" s="21"/>
      <c r="H207" s="12"/>
      <c r="I207" s="12"/>
      <c r="J207" s="12"/>
      <c r="K207" s="18"/>
      <c r="M207" s="19">
        <v>0</v>
      </c>
      <c r="N207" s="20"/>
      <c r="Q207" s="2"/>
      <c r="R207" s="2"/>
    </row>
    <row r="208" spans="1:18" ht="39" customHeight="1" x14ac:dyDescent="0.15">
      <c r="A208" s="12">
        <f t="shared" si="0"/>
        <v>202</v>
      </c>
      <c r="B208" s="13" t="s">
        <v>665</v>
      </c>
      <c r="C208" s="6">
        <v>252794.81</v>
      </c>
      <c r="D208" s="14">
        <v>302794.81</v>
      </c>
      <c r="E208" s="8" t="s">
        <v>530</v>
      </c>
      <c r="F208" s="6"/>
      <c r="G208" s="12"/>
      <c r="H208" s="12"/>
      <c r="I208" s="12"/>
      <c r="J208" s="12"/>
      <c r="K208" s="18"/>
      <c r="M208" s="19">
        <v>50000</v>
      </c>
      <c r="N208" s="20"/>
      <c r="Q208" s="2"/>
      <c r="R208" s="2"/>
    </row>
    <row r="209" spans="1:18" ht="39" customHeight="1" x14ac:dyDescent="0.15">
      <c r="A209" s="12">
        <f t="shared" si="0"/>
        <v>203</v>
      </c>
      <c r="B209" s="13" t="s">
        <v>666</v>
      </c>
      <c r="C209" s="6">
        <v>248513.71</v>
      </c>
      <c r="D209" s="14">
        <v>248513.71</v>
      </c>
      <c r="E209" s="8" t="s">
        <v>530</v>
      </c>
      <c r="F209" s="6"/>
      <c r="G209" s="21"/>
      <c r="H209" s="12"/>
      <c r="I209" s="12"/>
      <c r="J209" s="12"/>
      <c r="K209" s="18"/>
      <c r="M209" s="19">
        <v>0</v>
      </c>
      <c r="N209" s="20"/>
      <c r="Q209" s="2"/>
      <c r="R209" s="2"/>
    </row>
    <row r="210" spans="1:18" ht="39" customHeight="1" x14ac:dyDescent="0.15">
      <c r="A210" s="12">
        <f t="shared" si="0"/>
        <v>204</v>
      </c>
      <c r="B210" s="13" t="s">
        <v>667</v>
      </c>
      <c r="C210" s="6">
        <v>242885.68</v>
      </c>
      <c r="D210" s="14">
        <v>242885.68</v>
      </c>
      <c r="E210" s="8" t="s">
        <v>530</v>
      </c>
      <c r="F210" s="6"/>
      <c r="G210" s="12"/>
      <c r="H210" s="12"/>
      <c r="I210" s="12"/>
      <c r="J210" s="12"/>
      <c r="K210" s="18"/>
      <c r="M210" s="19">
        <v>0</v>
      </c>
      <c r="N210" s="20"/>
      <c r="Q210" s="2"/>
      <c r="R210" s="2"/>
    </row>
    <row r="211" spans="1:18" ht="39" customHeight="1" x14ac:dyDescent="0.15">
      <c r="A211" s="12">
        <f t="shared" si="0"/>
        <v>205</v>
      </c>
      <c r="B211" s="13" t="s">
        <v>668</v>
      </c>
      <c r="C211" s="6">
        <v>230349.42</v>
      </c>
      <c r="D211" s="14">
        <v>230349.42</v>
      </c>
      <c r="E211" s="15"/>
      <c r="F211" s="6" t="s">
        <v>462</v>
      </c>
      <c r="G211" s="21"/>
      <c r="H211" s="12"/>
      <c r="I211" s="12"/>
      <c r="J211" s="12"/>
      <c r="K211" s="18"/>
      <c r="M211" s="19">
        <v>0</v>
      </c>
      <c r="N211" s="20"/>
      <c r="Q211" s="2"/>
      <c r="R211" s="2"/>
    </row>
    <row r="212" spans="1:18" ht="39" customHeight="1" x14ac:dyDescent="0.15">
      <c r="A212" s="12">
        <f t="shared" si="0"/>
        <v>206</v>
      </c>
      <c r="B212" s="13" t="s">
        <v>669</v>
      </c>
      <c r="C212" s="6">
        <v>224898.7</v>
      </c>
      <c r="D212" s="14">
        <v>400002.7</v>
      </c>
      <c r="E212" s="15"/>
      <c r="F212" s="6" t="s">
        <v>462</v>
      </c>
      <c r="G212" s="21"/>
      <c r="H212" s="12"/>
      <c r="I212" s="12"/>
      <c r="J212" s="12"/>
      <c r="K212" s="18"/>
      <c r="M212" s="19">
        <v>550000</v>
      </c>
      <c r="N212" s="20"/>
      <c r="Q212" s="2"/>
      <c r="R212" s="2"/>
    </row>
    <row r="213" spans="1:18" ht="39" customHeight="1" x14ac:dyDescent="0.15">
      <c r="A213" s="12">
        <f t="shared" si="0"/>
        <v>207</v>
      </c>
      <c r="B213" s="13" t="s">
        <v>670</v>
      </c>
      <c r="C213" s="6">
        <v>216941.89</v>
      </c>
      <c r="D213" s="14">
        <v>421941.89</v>
      </c>
      <c r="E213" s="15"/>
      <c r="F213" s="6" t="s">
        <v>464</v>
      </c>
      <c r="G213" s="12"/>
      <c r="H213" s="12"/>
      <c r="I213" s="12"/>
      <c r="J213" s="12"/>
      <c r="K213" s="18"/>
      <c r="M213" s="19">
        <v>205000</v>
      </c>
      <c r="N213" s="20"/>
      <c r="Q213" s="2"/>
      <c r="R213" s="2"/>
    </row>
    <row r="214" spans="1:18" ht="39" customHeight="1" x14ac:dyDescent="0.15">
      <c r="A214" s="12">
        <f t="shared" si="0"/>
        <v>208</v>
      </c>
      <c r="B214" s="13" t="s">
        <v>671</v>
      </c>
      <c r="C214" s="6">
        <v>208473.77000000002</v>
      </c>
      <c r="D214" s="14">
        <v>218473.77000000002</v>
      </c>
      <c r="E214" s="8" t="s">
        <v>530</v>
      </c>
      <c r="F214" s="6"/>
      <c r="G214" s="16"/>
      <c r="H214" s="12"/>
      <c r="I214" s="12"/>
      <c r="J214" s="12"/>
      <c r="K214" s="18"/>
      <c r="M214" s="19">
        <v>10000</v>
      </c>
      <c r="N214" s="20"/>
      <c r="Q214" s="2"/>
      <c r="R214" s="2"/>
    </row>
    <row r="215" spans="1:18" ht="39" customHeight="1" x14ac:dyDescent="0.15">
      <c r="A215" s="12">
        <f t="shared" si="0"/>
        <v>209</v>
      </c>
      <c r="B215" s="13" t="s">
        <v>672</v>
      </c>
      <c r="C215" s="6">
        <v>203172</v>
      </c>
      <c r="D215" s="14">
        <v>142492</v>
      </c>
      <c r="E215" s="15"/>
      <c r="F215" s="6" t="s">
        <v>464</v>
      </c>
      <c r="G215" s="21"/>
      <c r="H215" s="12"/>
      <c r="I215" s="12"/>
      <c r="J215" s="12"/>
      <c r="K215" s="18"/>
      <c r="M215" s="19">
        <v>497500</v>
      </c>
      <c r="N215" s="20"/>
      <c r="Q215" s="2"/>
      <c r="R215" s="2"/>
    </row>
    <row r="216" spans="1:18" ht="39" customHeight="1" x14ac:dyDescent="0.15">
      <c r="A216" s="12">
        <f t="shared" si="0"/>
        <v>210</v>
      </c>
      <c r="B216" s="13" t="s">
        <v>673</v>
      </c>
      <c r="C216" s="6">
        <v>202650.76</v>
      </c>
      <c r="D216" s="14">
        <v>661260.76</v>
      </c>
      <c r="E216" s="15"/>
      <c r="F216" s="6" t="s">
        <v>464</v>
      </c>
      <c r="G216" s="16"/>
      <c r="H216" s="12"/>
      <c r="I216" s="12"/>
      <c r="J216" s="12"/>
      <c r="K216" s="18"/>
      <c r="M216" s="19">
        <v>3423975</v>
      </c>
      <c r="N216" s="20"/>
      <c r="Q216" s="2"/>
      <c r="R216" s="2"/>
    </row>
    <row r="217" spans="1:18" ht="39" customHeight="1" x14ac:dyDescent="0.15">
      <c r="A217" s="12">
        <f t="shared" si="0"/>
        <v>211</v>
      </c>
      <c r="B217" s="13" t="s">
        <v>674</v>
      </c>
      <c r="C217" s="6">
        <v>201283.56</v>
      </c>
      <c r="D217" s="14">
        <v>201283.56</v>
      </c>
      <c r="E217" s="8" t="s">
        <v>530</v>
      </c>
      <c r="F217" s="6"/>
      <c r="G217" s="21"/>
      <c r="H217" s="12"/>
      <c r="I217" s="12"/>
      <c r="J217" s="12"/>
      <c r="K217" s="18"/>
      <c r="M217" s="19">
        <v>0</v>
      </c>
      <c r="N217" s="20"/>
      <c r="Q217" s="2"/>
      <c r="R217" s="2"/>
    </row>
    <row r="218" spans="1:18" ht="39" customHeight="1" x14ac:dyDescent="0.15">
      <c r="A218" s="12">
        <f t="shared" si="0"/>
        <v>212</v>
      </c>
      <c r="B218" s="13" t="s">
        <v>675</v>
      </c>
      <c r="C218" s="6">
        <v>196476.71</v>
      </c>
      <c r="D218" s="14">
        <v>0.71</v>
      </c>
      <c r="E218" s="15"/>
      <c r="F218" s="6" t="s">
        <v>462</v>
      </c>
      <c r="G218" s="21"/>
      <c r="H218" s="12"/>
      <c r="I218" s="12"/>
      <c r="J218" s="12"/>
      <c r="K218" s="18"/>
      <c r="M218" s="19">
        <v>215000</v>
      </c>
      <c r="N218" s="20"/>
      <c r="Q218" s="2"/>
      <c r="R218" s="2"/>
    </row>
    <row r="219" spans="1:18" ht="39" customHeight="1" x14ac:dyDescent="0.15">
      <c r="A219" s="12">
        <f t="shared" si="0"/>
        <v>213</v>
      </c>
      <c r="B219" s="13" t="s">
        <v>676</v>
      </c>
      <c r="C219" s="6">
        <v>186540.88</v>
      </c>
      <c r="D219" s="14">
        <v>222540.88</v>
      </c>
      <c r="E219" s="8" t="s">
        <v>530</v>
      </c>
      <c r="F219" s="6"/>
      <c r="G219" s="16"/>
      <c r="H219" s="12"/>
      <c r="I219" s="12"/>
      <c r="J219" s="12"/>
      <c r="K219" s="18"/>
      <c r="M219" s="19">
        <v>36000</v>
      </c>
      <c r="N219" s="20"/>
      <c r="Q219" s="2"/>
      <c r="R219" s="2"/>
    </row>
    <row r="220" spans="1:18" ht="39" customHeight="1" x14ac:dyDescent="0.15">
      <c r="A220" s="12">
        <f t="shared" si="0"/>
        <v>214</v>
      </c>
      <c r="B220" s="13" t="s">
        <v>677</v>
      </c>
      <c r="C220" s="6">
        <v>175752.74</v>
      </c>
      <c r="D220" s="14">
        <v>95384.24</v>
      </c>
      <c r="E220" s="15"/>
      <c r="F220" s="6" t="s">
        <v>464</v>
      </c>
      <c r="G220" s="12"/>
      <c r="H220" s="12"/>
      <c r="I220" s="12"/>
      <c r="J220" s="12"/>
      <c r="K220" s="18"/>
      <c r="M220" s="19">
        <v>390000</v>
      </c>
      <c r="N220" s="20"/>
      <c r="Q220" s="2"/>
      <c r="R220" s="2"/>
    </row>
    <row r="221" spans="1:18" ht="39" customHeight="1" x14ac:dyDescent="0.15">
      <c r="A221" s="12">
        <f t="shared" si="0"/>
        <v>215</v>
      </c>
      <c r="B221" s="13" t="s">
        <v>678</v>
      </c>
      <c r="C221" s="6">
        <v>175216</v>
      </c>
      <c r="D221" s="14">
        <v>280216</v>
      </c>
      <c r="E221" s="15"/>
      <c r="F221" s="6" t="s">
        <v>464</v>
      </c>
      <c r="G221" s="12"/>
      <c r="H221" s="12"/>
      <c r="I221" s="12"/>
      <c r="J221" s="12"/>
      <c r="K221" s="18"/>
      <c r="M221" s="19">
        <v>105000</v>
      </c>
      <c r="N221" s="20"/>
      <c r="Q221" s="2"/>
      <c r="R221" s="2"/>
    </row>
    <row r="222" spans="1:18" ht="39" customHeight="1" x14ac:dyDescent="0.15">
      <c r="A222" s="12">
        <f t="shared" si="0"/>
        <v>216</v>
      </c>
      <c r="B222" s="13" t="s">
        <v>679</v>
      </c>
      <c r="C222" s="6">
        <v>170540</v>
      </c>
      <c r="D222" s="14">
        <v>622540</v>
      </c>
      <c r="E222" s="8" t="s">
        <v>530</v>
      </c>
      <c r="F222" s="6"/>
      <c r="G222" s="21"/>
      <c r="H222" s="12"/>
      <c r="I222" s="12"/>
      <c r="J222" s="17"/>
      <c r="K222" s="18"/>
      <c r="M222" s="19">
        <v>452000</v>
      </c>
      <c r="N222" s="20"/>
      <c r="Q222" s="2"/>
      <c r="R222" s="2"/>
    </row>
    <row r="223" spans="1:18" ht="39" customHeight="1" x14ac:dyDescent="0.15">
      <c r="A223" s="12">
        <f t="shared" si="0"/>
        <v>217</v>
      </c>
      <c r="B223" s="13" t="s">
        <v>680</v>
      </c>
      <c r="C223" s="6">
        <v>166816.92000000001</v>
      </c>
      <c r="D223" s="14">
        <v>166816.92000000001</v>
      </c>
      <c r="E223" s="8" t="s">
        <v>530</v>
      </c>
      <c r="F223" s="6"/>
      <c r="G223" s="21"/>
      <c r="H223" s="12"/>
      <c r="I223" s="12"/>
      <c r="J223" s="17"/>
      <c r="K223" s="18"/>
      <c r="M223" s="19">
        <v>0</v>
      </c>
      <c r="N223" s="20"/>
      <c r="Q223" s="2"/>
      <c r="R223" s="2"/>
    </row>
    <row r="224" spans="1:18" ht="39" customHeight="1" x14ac:dyDescent="0.15">
      <c r="A224" s="12">
        <f t="shared" si="0"/>
        <v>218</v>
      </c>
      <c r="B224" s="13" t="s">
        <v>681</v>
      </c>
      <c r="C224" s="6">
        <v>162029.66</v>
      </c>
      <c r="D224" s="14">
        <v>323029.65999999997</v>
      </c>
      <c r="E224" s="15"/>
      <c r="F224" s="6" t="s">
        <v>464</v>
      </c>
      <c r="G224" s="21"/>
      <c r="H224" s="12"/>
      <c r="I224" s="12"/>
      <c r="J224" s="12"/>
      <c r="K224" s="18"/>
      <c r="M224" s="19">
        <v>161000</v>
      </c>
      <c r="N224" s="20"/>
      <c r="Q224" s="2"/>
      <c r="R224" s="2"/>
    </row>
    <row r="225" spans="1:18" ht="39" customHeight="1" x14ac:dyDescent="0.15">
      <c r="A225" s="12">
        <f t="shared" si="0"/>
        <v>219</v>
      </c>
      <c r="B225" s="13" t="s">
        <v>682</v>
      </c>
      <c r="C225" s="6">
        <v>161248.41</v>
      </c>
      <c r="D225" s="14">
        <v>21193.41</v>
      </c>
      <c r="E225" s="15"/>
      <c r="F225" s="6" t="s">
        <v>464</v>
      </c>
      <c r="G225" s="21"/>
      <c r="H225" s="12"/>
      <c r="I225" s="12"/>
      <c r="J225" s="12"/>
      <c r="K225" s="18"/>
      <c r="M225" s="19">
        <v>214200</v>
      </c>
      <c r="N225" s="20"/>
      <c r="Q225" s="2"/>
      <c r="R225" s="2"/>
    </row>
    <row r="226" spans="1:18" ht="39" customHeight="1" x14ac:dyDescent="0.15">
      <c r="A226" s="12">
        <f t="shared" si="0"/>
        <v>220</v>
      </c>
      <c r="B226" s="13" t="s">
        <v>683</v>
      </c>
      <c r="C226" s="6">
        <v>153557.91</v>
      </c>
      <c r="D226" s="14">
        <v>358557.91000000003</v>
      </c>
      <c r="E226" s="15"/>
      <c r="F226" s="6" t="s">
        <v>464</v>
      </c>
      <c r="G226" s="12"/>
      <c r="H226" s="12"/>
      <c r="I226" s="12"/>
      <c r="J226" s="12"/>
      <c r="K226" s="18"/>
      <c r="M226" s="19">
        <v>205000</v>
      </c>
      <c r="N226" s="20"/>
      <c r="Q226" s="2"/>
      <c r="R226" s="2"/>
    </row>
    <row r="227" spans="1:18" ht="39" customHeight="1" x14ac:dyDescent="0.15">
      <c r="A227" s="12">
        <f t="shared" si="0"/>
        <v>221</v>
      </c>
      <c r="B227" s="13" t="s">
        <v>684</v>
      </c>
      <c r="C227" s="6">
        <v>153456.79999999999</v>
      </c>
      <c r="D227" s="14">
        <v>433456.8</v>
      </c>
      <c r="E227" s="15"/>
      <c r="F227" s="6" t="s">
        <v>464</v>
      </c>
      <c r="G227" s="21"/>
      <c r="H227" s="12"/>
      <c r="I227" s="12"/>
      <c r="J227" s="12"/>
      <c r="K227" s="18"/>
      <c r="M227" s="19">
        <v>280000</v>
      </c>
      <c r="N227" s="20"/>
      <c r="Q227" s="2"/>
      <c r="R227" s="2"/>
    </row>
    <row r="228" spans="1:18" ht="39" customHeight="1" x14ac:dyDescent="0.15">
      <c r="A228" s="12">
        <f t="shared" si="0"/>
        <v>222</v>
      </c>
      <c r="B228" s="13" t="s">
        <v>685</v>
      </c>
      <c r="C228" s="6">
        <v>149293.79999999999</v>
      </c>
      <c r="D228" s="14">
        <v>247000</v>
      </c>
      <c r="E228" s="15"/>
      <c r="F228" s="6" t="s">
        <v>464</v>
      </c>
      <c r="G228" s="12"/>
      <c r="H228" s="12"/>
      <c r="I228" s="12"/>
      <c r="J228" s="12"/>
      <c r="K228" s="18"/>
      <c r="M228" s="19">
        <v>653860</v>
      </c>
      <c r="N228" s="20"/>
      <c r="Q228" s="2"/>
      <c r="R228" s="2"/>
    </row>
    <row r="229" spans="1:18" ht="39" customHeight="1" x14ac:dyDescent="0.15">
      <c r="A229" s="12">
        <f t="shared" si="0"/>
        <v>223</v>
      </c>
      <c r="B229" s="13" t="s">
        <v>686</v>
      </c>
      <c r="C229" s="6">
        <v>149036.96</v>
      </c>
      <c r="D229" s="14">
        <v>149036.96</v>
      </c>
      <c r="E229" s="8" t="s">
        <v>530</v>
      </c>
      <c r="F229" s="6"/>
      <c r="G229" s="12"/>
      <c r="H229" s="12"/>
      <c r="I229" s="12"/>
      <c r="J229" s="12"/>
      <c r="K229" s="18"/>
      <c r="M229" s="19">
        <v>0</v>
      </c>
      <c r="N229" s="20"/>
      <c r="Q229" s="2"/>
      <c r="R229" s="2"/>
    </row>
    <row r="230" spans="1:18" ht="39" customHeight="1" x14ac:dyDescent="0.15">
      <c r="A230" s="12">
        <f t="shared" si="0"/>
        <v>224</v>
      </c>
      <c r="B230" s="13" t="s">
        <v>687</v>
      </c>
      <c r="C230" s="6">
        <v>143984</v>
      </c>
      <c r="D230" s="14">
        <v>265600</v>
      </c>
      <c r="E230" s="15"/>
      <c r="F230" s="6" t="s">
        <v>462</v>
      </c>
      <c r="G230" s="12"/>
      <c r="H230" s="12"/>
      <c r="I230" s="12"/>
      <c r="J230" s="12"/>
      <c r="K230" s="18"/>
      <c r="M230" s="19">
        <v>239600</v>
      </c>
      <c r="N230" s="20"/>
      <c r="Q230" s="2"/>
      <c r="R230" s="2"/>
    </row>
    <row r="231" spans="1:18" ht="39" customHeight="1" x14ac:dyDescent="0.15">
      <c r="A231" s="12">
        <f t="shared" si="0"/>
        <v>225</v>
      </c>
      <c r="B231" s="13" t="s">
        <v>688</v>
      </c>
      <c r="C231" s="6">
        <v>143099.97</v>
      </c>
      <c r="D231" s="14">
        <v>711379.97</v>
      </c>
      <c r="E231" s="15"/>
      <c r="F231" s="6" t="s">
        <v>464</v>
      </c>
      <c r="G231" s="21"/>
      <c r="H231" s="12"/>
      <c r="I231" s="12"/>
      <c r="J231" s="17"/>
      <c r="K231" s="18"/>
      <c r="M231" s="19">
        <v>657080</v>
      </c>
      <c r="N231" s="20"/>
      <c r="Q231" s="2"/>
      <c r="R231" s="2"/>
    </row>
    <row r="232" spans="1:18" ht="39" customHeight="1" x14ac:dyDescent="0.15">
      <c r="A232" s="12">
        <f t="shared" si="0"/>
        <v>226</v>
      </c>
      <c r="B232" s="13" t="s">
        <v>689</v>
      </c>
      <c r="C232" s="6">
        <v>139448</v>
      </c>
      <c r="D232" s="14">
        <v>1139448</v>
      </c>
      <c r="E232" s="15"/>
      <c r="F232" s="6" t="s">
        <v>462</v>
      </c>
      <c r="G232" s="21"/>
      <c r="H232" s="12"/>
      <c r="I232" s="12"/>
      <c r="J232" s="12"/>
      <c r="K232" s="18"/>
      <c r="M232" s="19">
        <v>1000000</v>
      </c>
      <c r="N232" s="20"/>
      <c r="Q232" s="2"/>
      <c r="R232" s="2"/>
    </row>
    <row r="233" spans="1:18" ht="39" customHeight="1" x14ac:dyDescent="0.15">
      <c r="A233" s="12">
        <f t="shared" si="0"/>
        <v>227</v>
      </c>
      <c r="B233" s="13" t="s">
        <v>690</v>
      </c>
      <c r="C233" s="6">
        <v>135055.29</v>
      </c>
      <c r="D233" s="14">
        <v>446303.49</v>
      </c>
      <c r="E233" s="15"/>
      <c r="F233" s="6" t="s">
        <v>462</v>
      </c>
      <c r="G233" s="12"/>
      <c r="H233" s="12"/>
      <c r="I233" s="12"/>
      <c r="J233" s="12"/>
      <c r="K233" s="18"/>
      <c r="M233" s="19">
        <v>240000</v>
      </c>
      <c r="N233" s="20"/>
      <c r="Q233" s="2"/>
      <c r="R233" s="2"/>
    </row>
    <row r="234" spans="1:18" ht="39" customHeight="1" x14ac:dyDescent="0.15">
      <c r="A234" s="12">
        <f t="shared" si="0"/>
        <v>228</v>
      </c>
      <c r="B234" s="13" t="s">
        <v>691</v>
      </c>
      <c r="C234" s="6">
        <v>133574.78</v>
      </c>
      <c r="D234" s="14">
        <v>133574.78</v>
      </c>
      <c r="E234" s="15"/>
      <c r="F234" s="6" t="s">
        <v>464</v>
      </c>
      <c r="G234" s="21"/>
      <c r="H234" s="12"/>
      <c r="I234" s="12"/>
      <c r="J234" s="17"/>
      <c r="K234" s="18"/>
      <c r="M234" s="19">
        <v>0</v>
      </c>
      <c r="N234" s="20"/>
      <c r="Q234" s="2"/>
      <c r="R234" s="2"/>
    </row>
    <row r="235" spans="1:18" ht="39" customHeight="1" x14ac:dyDescent="0.15">
      <c r="A235" s="12">
        <f t="shared" si="0"/>
        <v>229</v>
      </c>
      <c r="B235" s="13" t="s">
        <v>692</v>
      </c>
      <c r="C235" s="6">
        <v>129644.51000000001</v>
      </c>
      <c r="D235" s="14">
        <v>129644.51000000001</v>
      </c>
      <c r="E235" s="8" t="s">
        <v>530</v>
      </c>
      <c r="F235" s="6"/>
      <c r="G235" s="12"/>
      <c r="H235" s="12"/>
      <c r="I235" s="12"/>
      <c r="J235" s="12"/>
      <c r="K235" s="18"/>
      <c r="M235" s="19">
        <v>0</v>
      </c>
      <c r="N235" s="20"/>
      <c r="Q235" s="2"/>
      <c r="R235" s="2"/>
    </row>
    <row r="236" spans="1:18" ht="39" customHeight="1" x14ac:dyDescent="0.15">
      <c r="A236" s="12">
        <f t="shared" si="0"/>
        <v>230</v>
      </c>
      <c r="B236" s="13" t="s">
        <v>693</v>
      </c>
      <c r="C236" s="6">
        <v>128262</v>
      </c>
      <c r="D236" s="14">
        <v>203262</v>
      </c>
      <c r="E236" s="8" t="s">
        <v>530</v>
      </c>
      <c r="F236" s="6"/>
      <c r="G236" s="21"/>
      <c r="H236" s="12"/>
      <c r="I236" s="12"/>
      <c r="J236" s="17"/>
      <c r="K236" s="18"/>
      <c r="M236" s="19">
        <v>75000</v>
      </c>
      <c r="N236" s="20"/>
      <c r="Q236" s="2"/>
      <c r="R236" s="2"/>
    </row>
    <row r="237" spans="1:18" ht="39" customHeight="1" x14ac:dyDescent="0.15">
      <c r="A237" s="12">
        <f t="shared" si="0"/>
        <v>231</v>
      </c>
      <c r="B237" s="13" t="s">
        <v>694</v>
      </c>
      <c r="C237" s="6">
        <v>126690.04000000001</v>
      </c>
      <c r="D237" s="14">
        <v>-27690</v>
      </c>
      <c r="E237" s="15"/>
      <c r="F237" s="6" t="s">
        <v>464</v>
      </c>
      <c r="G237" s="12"/>
      <c r="H237" s="12"/>
      <c r="I237" s="12"/>
      <c r="J237" s="17"/>
      <c r="K237" s="18"/>
      <c r="M237" s="19">
        <v>362445</v>
      </c>
      <c r="N237" s="20"/>
      <c r="Q237" s="2"/>
      <c r="R237" s="2"/>
    </row>
    <row r="238" spans="1:18" ht="39" customHeight="1" x14ac:dyDescent="0.15">
      <c r="A238" s="12">
        <f t="shared" si="0"/>
        <v>232</v>
      </c>
      <c r="B238" s="13" t="s">
        <v>695</v>
      </c>
      <c r="C238" s="6">
        <v>117067.54000000001</v>
      </c>
      <c r="D238" s="14">
        <v>117067.54000000001</v>
      </c>
      <c r="E238" s="15"/>
      <c r="F238" s="6" t="s">
        <v>464</v>
      </c>
      <c r="G238" s="21"/>
      <c r="H238" s="12"/>
      <c r="I238" s="12"/>
      <c r="J238" s="12"/>
      <c r="K238" s="18"/>
      <c r="M238" s="19">
        <v>0</v>
      </c>
      <c r="N238" s="20"/>
      <c r="Q238" s="2"/>
      <c r="R238" s="2"/>
    </row>
    <row r="239" spans="1:18" ht="39" customHeight="1" x14ac:dyDescent="0.15">
      <c r="A239" s="12">
        <f t="shared" si="0"/>
        <v>233</v>
      </c>
      <c r="B239" s="13" t="s">
        <v>696</v>
      </c>
      <c r="C239" s="6">
        <v>108375.84</v>
      </c>
      <c r="D239" s="14">
        <v>108375.84</v>
      </c>
      <c r="E239" s="8" t="s">
        <v>530</v>
      </c>
      <c r="F239" s="6"/>
      <c r="G239" s="12"/>
      <c r="H239" s="12"/>
      <c r="I239" s="12"/>
      <c r="J239" s="12"/>
      <c r="K239" s="18"/>
      <c r="M239" s="19">
        <v>0</v>
      </c>
      <c r="N239" s="20"/>
      <c r="Q239" s="2"/>
      <c r="R239" s="2"/>
    </row>
    <row r="240" spans="1:18" ht="39" customHeight="1" x14ac:dyDescent="0.15">
      <c r="A240" s="12">
        <f t="shared" si="0"/>
        <v>234</v>
      </c>
      <c r="B240" s="13" t="s">
        <v>697</v>
      </c>
      <c r="C240" s="6">
        <v>101995.91</v>
      </c>
      <c r="D240" s="14">
        <v>796165.37</v>
      </c>
      <c r="E240" s="15"/>
      <c r="F240" s="6" t="s">
        <v>464</v>
      </c>
      <c r="G240" s="21"/>
      <c r="H240" s="12"/>
      <c r="I240" s="12"/>
      <c r="J240" s="12"/>
      <c r="K240" s="18"/>
      <c r="M240" s="19">
        <v>570000</v>
      </c>
      <c r="N240" s="20"/>
      <c r="Q240" s="2"/>
      <c r="R240" s="2"/>
    </row>
    <row r="241" spans="1:18" ht="39" customHeight="1" x14ac:dyDescent="0.15">
      <c r="A241" s="12">
        <f t="shared" si="0"/>
        <v>235</v>
      </c>
      <c r="B241" s="13" t="s">
        <v>698</v>
      </c>
      <c r="C241" s="6">
        <v>100235.84</v>
      </c>
      <c r="D241" s="14">
        <v>100235.84</v>
      </c>
      <c r="E241" s="15"/>
      <c r="F241" s="6" t="s">
        <v>464</v>
      </c>
      <c r="G241" s="12"/>
      <c r="H241" s="12"/>
      <c r="I241" s="12"/>
      <c r="J241" s="17"/>
      <c r="K241" s="18"/>
      <c r="M241" s="19">
        <v>0</v>
      </c>
      <c r="N241" s="20"/>
      <c r="Q241" s="2"/>
      <c r="R241" s="2"/>
    </row>
    <row r="242" spans="1:18" ht="39" customHeight="1" x14ac:dyDescent="0.15">
      <c r="A242" s="12">
        <f t="shared" si="0"/>
        <v>236</v>
      </c>
      <c r="B242" s="13" t="s">
        <v>699</v>
      </c>
      <c r="C242" s="6">
        <v>99391.49</v>
      </c>
      <c r="D242" s="14">
        <v>1649391.49</v>
      </c>
      <c r="E242" s="15"/>
      <c r="F242" s="6" t="s">
        <v>464</v>
      </c>
      <c r="G242" s="21"/>
      <c r="H242" s="12"/>
      <c r="I242" s="12"/>
      <c r="J242" s="12"/>
      <c r="K242" s="18"/>
      <c r="M242" s="19">
        <v>1550000</v>
      </c>
      <c r="N242" s="20"/>
      <c r="Q242" s="2"/>
      <c r="R242" s="2"/>
    </row>
    <row r="243" spans="1:18" ht="39" customHeight="1" x14ac:dyDescent="0.15">
      <c r="A243" s="12">
        <f t="shared" si="0"/>
        <v>237</v>
      </c>
      <c r="B243" s="13" t="s">
        <v>700</v>
      </c>
      <c r="C243" s="6">
        <v>97920</v>
      </c>
      <c r="D243" s="14">
        <v>0</v>
      </c>
      <c r="E243" s="15"/>
      <c r="F243" s="6" t="s">
        <v>462</v>
      </c>
      <c r="G243" s="12"/>
      <c r="H243" s="12"/>
      <c r="I243" s="12"/>
      <c r="J243" s="12"/>
      <c r="K243" s="18"/>
      <c r="M243" s="19">
        <v>335300</v>
      </c>
      <c r="N243" s="20"/>
      <c r="Q243" s="2"/>
      <c r="R243" s="2"/>
    </row>
    <row r="244" spans="1:18" ht="39" customHeight="1" x14ac:dyDescent="0.15">
      <c r="A244" s="12">
        <f t="shared" si="0"/>
        <v>238</v>
      </c>
      <c r="B244" s="13" t="s">
        <v>701</v>
      </c>
      <c r="C244" s="6">
        <v>96107</v>
      </c>
      <c r="D244" s="14">
        <v>336107</v>
      </c>
      <c r="E244" s="15"/>
      <c r="F244" s="6" t="s">
        <v>464</v>
      </c>
      <c r="G244" s="21"/>
      <c r="H244" s="12"/>
      <c r="I244" s="12"/>
      <c r="J244" s="12"/>
      <c r="K244" s="18"/>
      <c r="M244" s="19">
        <v>240000</v>
      </c>
      <c r="N244" s="20"/>
      <c r="Q244" s="2"/>
      <c r="R244" s="2"/>
    </row>
    <row r="245" spans="1:18" ht="39" customHeight="1" x14ac:dyDescent="0.15">
      <c r="A245" s="12">
        <f t="shared" si="0"/>
        <v>239</v>
      </c>
      <c r="B245" s="13" t="s">
        <v>702</v>
      </c>
      <c r="C245" s="6">
        <v>88885.14</v>
      </c>
      <c r="D245" s="14">
        <v>98885.14</v>
      </c>
      <c r="E245" s="15"/>
      <c r="F245" s="6" t="s">
        <v>464</v>
      </c>
      <c r="G245" s="21"/>
      <c r="H245" s="12"/>
      <c r="I245" s="12"/>
      <c r="J245" s="12"/>
      <c r="K245" s="18"/>
      <c r="M245" s="19">
        <v>10000</v>
      </c>
      <c r="N245" s="20"/>
      <c r="Q245" s="2"/>
      <c r="R245" s="2"/>
    </row>
    <row r="246" spans="1:18" ht="39" customHeight="1" x14ac:dyDescent="0.15">
      <c r="A246" s="12">
        <f t="shared" si="0"/>
        <v>240</v>
      </c>
      <c r="B246" s="13" t="s">
        <v>703</v>
      </c>
      <c r="C246" s="6">
        <v>86141.39</v>
      </c>
      <c r="D246" s="14">
        <v>103141.39</v>
      </c>
      <c r="E246" s="15"/>
      <c r="F246" s="6" t="s">
        <v>464</v>
      </c>
      <c r="G246" s="12"/>
      <c r="H246" s="12"/>
      <c r="I246" s="12"/>
      <c r="J246" s="12"/>
      <c r="K246" s="18"/>
      <c r="M246" s="19">
        <v>17000</v>
      </c>
      <c r="N246" s="20"/>
      <c r="Q246" s="2"/>
      <c r="R246" s="2"/>
    </row>
    <row r="247" spans="1:18" ht="39" customHeight="1" x14ac:dyDescent="0.15">
      <c r="A247" s="12">
        <f t="shared" si="0"/>
        <v>241</v>
      </c>
      <c r="B247" s="13" t="s">
        <v>704</v>
      </c>
      <c r="C247" s="6">
        <v>86000</v>
      </c>
      <c r="D247" s="14">
        <v>86000</v>
      </c>
      <c r="E247" s="8" t="s">
        <v>530</v>
      </c>
      <c r="F247" s="6"/>
      <c r="G247" s="12"/>
      <c r="H247" s="12"/>
      <c r="I247" s="12"/>
      <c r="J247" s="12"/>
      <c r="K247" s="18"/>
      <c r="M247" s="19">
        <v>0</v>
      </c>
      <c r="N247" s="20"/>
      <c r="Q247" s="2"/>
      <c r="R247" s="2"/>
    </row>
    <row r="248" spans="1:18" ht="39" customHeight="1" x14ac:dyDescent="0.15">
      <c r="A248" s="12">
        <f t="shared" si="0"/>
        <v>242</v>
      </c>
      <c r="B248" s="13" t="s">
        <v>705</v>
      </c>
      <c r="C248" s="6">
        <v>85895.91</v>
      </c>
      <c r="D248" s="14">
        <v>85895.91</v>
      </c>
      <c r="E248" s="15"/>
      <c r="F248" s="6" t="s">
        <v>464</v>
      </c>
      <c r="G248" s="21"/>
      <c r="H248" s="12"/>
      <c r="I248" s="12"/>
      <c r="J248" s="12"/>
      <c r="K248" s="18"/>
      <c r="M248" s="19">
        <v>0</v>
      </c>
      <c r="N248" s="20"/>
      <c r="Q248" s="2"/>
      <c r="R248" s="2"/>
    </row>
    <row r="249" spans="1:18" ht="39" customHeight="1" x14ac:dyDescent="0.15">
      <c r="A249" s="12">
        <f t="shared" si="0"/>
        <v>243</v>
      </c>
      <c r="B249" s="13" t="s">
        <v>706</v>
      </c>
      <c r="C249" s="6">
        <v>83938.62</v>
      </c>
      <c r="D249" s="14">
        <v>102967.46</v>
      </c>
      <c r="E249" s="8" t="s">
        <v>530</v>
      </c>
      <c r="F249" s="6"/>
      <c r="G249" s="12"/>
      <c r="H249" s="12"/>
      <c r="I249" s="12"/>
      <c r="J249" s="12"/>
      <c r="K249" s="18"/>
      <c r="M249" s="19">
        <v>379218</v>
      </c>
      <c r="N249" s="20"/>
      <c r="Q249" s="2"/>
      <c r="R249" s="2"/>
    </row>
    <row r="250" spans="1:18" ht="39" customHeight="1" x14ac:dyDescent="0.15">
      <c r="A250" s="12">
        <f t="shared" si="0"/>
        <v>244</v>
      </c>
      <c r="B250" s="13" t="s">
        <v>707</v>
      </c>
      <c r="C250" s="6">
        <v>81259.12</v>
      </c>
      <c r="D250" s="14">
        <v>81259.12</v>
      </c>
      <c r="E250" s="8" t="s">
        <v>530</v>
      </c>
      <c r="F250" s="6"/>
      <c r="G250" s="12"/>
      <c r="H250" s="12"/>
      <c r="I250" s="12"/>
      <c r="J250" s="12"/>
      <c r="K250" s="18"/>
      <c r="M250" s="19">
        <v>0</v>
      </c>
      <c r="N250" s="20"/>
      <c r="Q250" s="2"/>
      <c r="R250" s="2"/>
    </row>
    <row r="251" spans="1:18" ht="39" customHeight="1" x14ac:dyDescent="0.15">
      <c r="A251" s="12">
        <f t="shared" si="0"/>
        <v>245</v>
      </c>
      <c r="B251" s="13" t="s">
        <v>708</v>
      </c>
      <c r="C251" s="6">
        <v>80970</v>
      </c>
      <c r="D251" s="14">
        <v>100970</v>
      </c>
      <c r="E251" s="8" t="s">
        <v>530</v>
      </c>
      <c r="F251" s="6"/>
      <c r="G251" s="21"/>
      <c r="H251" s="12"/>
      <c r="I251" s="12"/>
      <c r="J251" s="17"/>
      <c r="K251" s="18"/>
      <c r="M251" s="19">
        <v>20000</v>
      </c>
      <c r="N251" s="20"/>
      <c r="Q251" s="2"/>
      <c r="R251" s="2"/>
    </row>
    <row r="252" spans="1:18" ht="39" customHeight="1" x14ac:dyDescent="0.15">
      <c r="A252" s="12">
        <f t="shared" si="0"/>
        <v>246</v>
      </c>
      <c r="B252" s="13" t="s">
        <v>709</v>
      </c>
      <c r="C252" s="6">
        <v>80050</v>
      </c>
      <c r="D252" s="14">
        <v>80050</v>
      </c>
      <c r="E252" s="8" t="s">
        <v>530</v>
      </c>
      <c r="F252" s="6"/>
      <c r="G252" s="12"/>
      <c r="H252" s="12"/>
      <c r="I252" s="12"/>
      <c r="J252" s="12"/>
      <c r="K252" s="18"/>
      <c r="M252" s="19">
        <v>0</v>
      </c>
      <c r="N252" s="20"/>
      <c r="Q252" s="2"/>
      <c r="R252" s="2"/>
    </row>
    <row r="253" spans="1:18" ht="39" customHeight="1" x14ac:dyDescent="0.15">
      <c r="A253" s="12">
        <f t="shared" si="0"/>
        <v>247</v>
      </c>
      <c r="B253" s="13" t="s">
        <v>710</v>
      </c>
      <c r="C253" s="6">
        <v>78475.67</v>
      </c>
      <c r="D253" s="14">
        <v>981792.6</v>
      </c>
      <c r="E253" s="15"/>
      <c r="F253" s="6" t="s">
        <v>464</v>
      </c>
      <c r="G253" s="12"/>
      <c r="H253" s="12"/>
      <c r="I253" s="12"/>
      <c r="J253" s="12"/>
      <c r="K253" s="18"/>
      <c r="M253" s="19">
        <v>8846512</v>
      </c>
      <c r="N253" s="20"/>
      <c r="Q253" s="2"/>
      <c r="R253" s="2"/>
    </row>
    <row r="254" spans="1:18" ht="39" customHeight="1" x14ac:dyDescent="0.15">
      <c r="A254" s="12">
        <f t="shared" si="0"/>
        <v>248</v>
      </c>
      <c r="B254" s="13" t="s">
        <v>711</v>
      </c>
      <c r="C254" s="6">
        <v>78400</v>
      </c>
      <c r="D254" s="14">
        <v>278400</v>
      </c>
      <c r="E254" s="15"/>
      <c r="F254" s="6" t="s">
        <v>464</v>
      </c>
      <c r="G254" s="12"/>
      <c r="H254" s="12"/>
      <c r="I254" s="12"/>
      <c r="J254" s="12"/>
      <c r="K254" s="18"/>
      <c r="M254" s="19">
        <v>200000</v>
      </c>
      <c r="N254" s="20"/>
      <c r="Q254" s="2"/>
      <c r="R254" s="2"/>
    </row>
    <row r="255" spans="1:18" ht="39" customHeight="1" x14ac:dyDescent="0.15">
      <c r="A255" s="12">
        <f t="shared" si="0"/>
        <v>249</v>
      </c>
      <c r="B255" s="13" t="s">
        <v>712</v>
      </c>
      <c r="C255" s="6">
        <v>74535.649999999994</v>
      </c>
      <c r="D255" s="14">
        <v>149535.65</v>
      </c>
      <c r="E255" s="15"/>
      <c r="F255" s="6" t="s">
        <v>462</v>
      </c>
      <c r="G255" s="12"/>
      <c r="H255" s="12"/>
      <c r="I255" s="12"/>
      <c r="J255" s="12"/>
      <c r="K255" s="18"/>
      <c r="M255" s="19">
        <v>75000</v>
      </c>
      <c r="N255" s="20"/>
      <c r="Q255" s="2"/>
      <c r="R255" s="2"/>
    </row>
    <row r="256" spans="1:18" ht="39" customHeight="1" x14ac:dyDescent="0.15">
      <c r="A256" s="12">
        <f t="shared" si="0"/>
        <v>250</v>
      </c>
      <c r="B256" s="13" t="s">
        <v>713</v>
      </c>
      <c r="C256" s="6">
        <v>74305</v>
      </c>
      <c r="D256" s="14">
        <v>74305</v>
      </c>
      <c r="E256" s="8" t="s">
        <v>530</v>
      </c>
      <c r="F256" s="6"/>
      <c r="G256" s="12"/>
      <c r="H256" s="12"/>
      <c r="I256" s="12"/>
      <c r="J256" s="12"/>
      <c r="K256" s="18"/>
      <c r="M256" s="19">
        <v>0</v>
      </c>
      <c r="N256" s="20"/>
      <c r="Q256" s="2"/>
      <c r="R256" s="2"/>
    </row>
    <row r="257" spans="1:18" ht="39" customHeight="1" x14ac:dyDescent="0.15">
      <c r="A257" s="12">
        <f t="shared" si="0"/>
        <v>251</v>
      </c>
      <c r="B257" s="13" t="s">
        <v>714</v>
      </c>
      <c r="C257" s="6">
        <v>70515.23</v>
      </c>
      <c r="D257" s="14">
        <v>70515.23</v>
      </c>
      <c r="E257" s="8" t="s">
        <v>530</v>
      </c>
      <c r="F257" s="6"/>
      <c r="G257" s="12"/>
      <c r="H257" s="12"/>
      <c r="I257" s="12"/>
      <c r="J257" s="12"/>
      <c r="K257" s="18"/>
      <c r="M257" s="19">
        <v>0</v>
      </c>
      <c r="N257" s="20"/>
      <c r="Q257" s="2"/>
      <c r="R257" s="2"/>
    </row>
    <row r="258" spans="1:18" ht="39" customHeight="1" x14ac:dyDescent="0.15">
      <c r="A258" s="12">
        <f t="shared" si="0"/>
        <v>252</v>
      </c>
      <c r="B258" s="13" t="s">
        <v>715</v>
      </c>
      <c r="C258" s="6">
        <v>70000</v>
      </c>
      <c r="D258" s="14">
        <v>70000</v>
      </c>
      <c r="E258" s="8" t="s">
        <v>530</v>
      </c>
      <c r="F258" s="6"/>
      <c r="G258" s="12"/>
      <c r="H258" s="12"/>
      <c r="I258" s="12"/>
      <c r="J258" s="17"/>
      <c r="K258" s="18"/>
      <c r="M258" s="19">
        <v>0</v>
      </c>
      <c r="N258" s="20"/>
      <c r="Q258" s="2"/>
      <c r="R258" s="2"/>
    </row>
    <row r="259" spans="1:18" ht="39" customHeight="1" x14ac:dyDescent="0.15">
      <c r="A259" s="12">
        <f t="shared" si="0"/>
        <v>253</v>
      </c>
      <c r="B259" s="13" t="s">
        <v>716</v>
      </c>
      <c r="C259" s="6">
        <v>66100</v>
      </c>
      <c r="D259" s="14">
        <v>480100</v>
      </c>
      <c r="E259" s="15"/>
      <c r="F259" s="6" t="s">
        <v>462</v>
      </c>
      <c r="G259" s="12"/>
      <c r="H259" s="12"/>
      <c r="I259" s="12"/>
      <c r="J259" s="12"/>
      <c r="K259" s="18"/>
      <c r="M259" s="19">
        <v>550000</v>
      </c>
      <c r="N259" s="20"/>
      <c r="Q259" s="2"/>
      <c r="R259" s="2"/>
    </row>
    <row r="260" spans="1:18" ht="39" customHeight="1" x14ac:dyDescent="0.15">
      <c r="A260" s="12">
        <f t="shared" si="0"/>
        <v>254</v>
      </c>
      <c r="B260" s="13" t="s">
        <v>717</v>
      </c>
      <c r="C260" s="6">
        <v>64484.17</v>
      </c>
      <c r="D260" s="14">
        <v>127747.17</v>
      </c>
      <c r="E260" s="15"/>
      <c r="F260" s="6" t="s">
        <v>464</v>
      </c>
      <c r="G260" s="12"/>
      <c r="H260" s="12"/>
      <c r="I260" s="12"/>
      <c r="J260" s="12"/>
      <c r="K260" s="18"/>
      <c r="M260" s="19">
        <v>160800</v>
      </c>
      <c r="N260" s="20"/>
      <c r="Q260" s="2"/>
      <c r="R260" s="2"/>
    </row>
    <row r="261" spans="1:18" ht="39" customHeight="1" x14ac:dyDescent="0.15">
      <c r="A261" s="12">
        <f t="shared" si="0"/>
        <v>255</v>
      </c>
      <c r="B261" s="13" t="s">
        <v>718</v>
      </c>
      <c r="C261" s="6">
        <v>62976.14</v>
      </c>
      <c r="D261" s="14">
        <v>62976.14</v>
      </c>
      <c r="E261" s="8" t="s">
        <v>530</v>
      </c>
      <c r="F261" s="6"/>
      <c r="G261" s="21"/>
      <c r="H261" s="12"/>
      <c r="I261" s="12"/>
      <c r="J261" s="12"/>
      <c r="K261" s="18"/>
      <c r="M261" s="19">
        <v>0</v>
      </c>
      <c r="N261" s="20"/>
      <c r="Q261" s="2"/>
      <c r="R261" s="2"/>
    </row>
    <row r="262" spans="1:18" ht="39" customHeight="1" x14ac:dyDescent="0.15">
      <c r="A262" s="12">
        <f t="shared" ref="A262:A377" si="1">SUBTOTAL(3,$B$7:B262)</f>
        <v>256</v>
      </c>
      <c r="B262" s="22" t="s">
        <v>719</v>
      </c>
      <c r="C262" s="6">
        <v>62795.25</v>
      </c>
      <c r="D262" s="14">
        <v>62795.25</v>
      </c>
      <c r="E262" s="24" t="s">
        <v>530</v>
      </c>
      <c r="F262" s="6"/>
      <c r="G262" s="21"/>
      <c r="H262" s="23"/>
      <c r="I262" s="12"/>
      <c r="J262" s="12"/>
      <c r="K262" s="18"/>
      <c r="M262" s="19">
        <v>0</v>
      </c>
      <c r="N262" s="20"/>
      <c r="Q262" s="2"/>
      <c r="R262" s="2"/>
    </row>
    <row r="263" spans="1:18" ht="39" customHeight="1" x14ac:dyDescent="0.15">
      <c r="A263" s="12">
        <f t="shared" si="1"/>
        <v>257</v>
      </c>
      <c r="B263" s="13" t="s">
        <v>720</v>
      </c>
      <c r="C263" s="6">
        <v>58775.78</v>
      </c>
      <c r="D263" s="14">
        <v>58775.78</v>
      </c>
      <c r="E263" s="25"/>
      <c r="F263" s="6" t="s">
        <v>464</v>
      </c>
      <c r="G263" s="21"/>
      <c r="H263" s="12"/>
      <c r="I263" s="12"/>
      <c r="J263" s="12"/>
      <c r="K263" s="18"/>
      <c r="M263" s="19">
        <v>0</v>
      </c>
      <c r="N263" s="20"/>
      <c r="Q263" s="2"/>
      <c r="R263" s="2"/>
    </row>
    <row r="264" spans="1:18" ht="39" customHeight="1" x14ac:dyDescent="0.15">
      <c r="A264" s="12">
        <f t="shared" si="1"/>
        <v>258</v>
      </c>
      <c r="B264" s="13" t="s">
        <v>721</v>
      </c>
      <c r="C264" s="6">
        <v>58431.200000000004</v>
      </c>
      <c r="D264" s="14">
        <v>253431.2</v>
      </c>
      <c r="E264" s="15"/>
      <c r="F264" s="6" t="s">
        <v>464</v>
      </c>
      <c r="G264" s="12"/>
      <c r="H264" s="12"/>
      <c r="I264" s="12"/>
      <c r="J264" s="12"/>
      <c r="K264" s="18"/>
      <c r="M264" s="19">
        <v>195000</v>
      </c>
      <c r="N264" s="20"/>
      <c r="Q264" s="2"/>
      <c r="R264" s="2"/>
    </row>
    <row r="265" spans="1:18" ht="39" customHeight="1" x14ac:dyDescent="0.15">
      <c r="A265" s="12">
        <f t="shared" si="1"/>
        <v>259</v>
      </c>
      <c r="B265" s="13" t="s">
        <v>722</v>
      </c>
      <c r="C265" s="6">
        <v>56512.5</v>
      </c>
      <c r="D265" s="14">
        <v>56512.5</v>
      </c>
      <c r="E265" s="8" t="s">
        <v>530</v>
      </c>
      <c r="F265" s="6"/>
      <c r="G265" s="21"/>
      <c r="H265" s="12"/>
      <c r="I265" s="12"/>
      <c r="J265" s="12"/>
      <c r="K265" s="18"/>
      <c r="M265" s="19">
        <v>0</v>
      </c>
      <c r="N265" s="20"/>
      <c r="Q265" s="2"/>
      <c r="R265" s="2"/>
    </row>
    <row r="266" spans="1:18" ht="39" customHeight="1" x14ac:dyDescent="0.15">
      <c r="A266" s="12">
        <f t="shared" si="1"/>
        <v>260</v>
      </c>
      <c r="B266" s="13" t="s">
        <v>723</v>
      </c>
      <c r="C266" s="6">
        <v>55190</v>
      </c>
      <c r="D266" s="14">
        <v>75190</v>
      </c>
      <c r="E266" s="15"/>
      <c r="F266" s="6" t="s">
        <v>462</v>
      </c>
      <c r="G266" s="21"/>
      <c r="H266" s="12"/>
      <c r="I266" s="12"/>
      <c r="J266" s="12"/>
      <c r="K266" s="18"/>
      <c r="M266" s="19">
        <v>20000</v>
      </c>
      <c r="N266" s="20"/>
      <c r="Q266" s="2"/>
      <c r="R266" s="2"/>
    </row>
    <row r="267" spans="1:18" ht="39" customHeight="1" x14ac:dyDescent="0.15">
      <c r="A267" s="12">
        <f t="shared" si="1"/>
        <v>261</v>
      </c>
      <c r="B267" s="13" t="s">
        <v>724</v>
      </c>
      <c r="C267" s="6">
        <v>48800.93</v>
      </c>
      <c r="D267" s="14">
        <v>457525.96</v>
      </c>
      <c r="E267" s="15"/>
      <c r="F267" s="6" t="s">
        <v>464</v>
      </c>
      <c r="G267" s="12"/>
      <c r="H267" s="12"/>
      <c r="I267" s="12"/>
      <c r="J267" s="12"/>
      <c r="K267" s="18"/>
      <c r="M267" s="19">
        <v>60000</v>
      </c>
      <c r="N267" s="20"/>
      <c r="Q267" s="2"/>
      <c r="R267" s="2"/>
    </row>
    <row r="268" spans="1:18" ht="39" customHeight="1" x14ac:dyDescent="0.15">
      <c r="A268" s="12">
        <f t="shared" si="1"/>
        <v>262</v>
      </c>
      <c r="B268" s="13" t="s">
        <v>725</v>
      </c>
      <c r="C268" s="6">
        <v>47410</v>
      </c>
      <c r="D268" s="14">
        <v>47410</v>
      </c>
      <c r="E268" s="15"/>
      <c r="F268" s="6" t="s">
        <v>462</v>
      </c>
      <c r="G268" s="21"/>
      <c r="H268" s="12"/>
      <c r="I268" s="12"/>
      <c r="J268" s="12"/>
      <c r="K268" s="18"/>
      <c r="M268" s="19">
        <v>0</v>
      </c>
      <c r="N268" s="20"/>
      <c r="Q268" s="2"/>
      <c r="R268" s="2"/>
    </row>
    <row r="269" spans="1:18" ht="39" customHeight="1" x14ac:dyDescent="0.15">
      <c r="A269" s="12">
        <f t="shared" si="1"/>
        <v>263</v>
      </c>
      <c r="B269" s="13" t="s">
        <v>726</v>
      </c>
      <c r="C269" s="6">
        <v>46276.950000000004</v>
      </c>
      <c r="D269" s="14">
        <v>46276.950000000004</v>
      </c>
      <c r="E269" s="15"/>
      <c r="F269" s="6" t="s">
        <v>462</v>
      </c>
      <c r="G269" s="12"/>
      <c r="H269" s="12"/>
      <c r="I269" s="12"/>
      <c r="J269" s="12"/>
      <c r="K269" s="18"/>
      <c r="M269" s="19">
        <v>0</v>
      </c>
      <c r="N269" s="20"/>
      <c r="Q269" s="2"/>
      <c r="R269" s="2"/>
    </row>
    <row r="270" spans="1:18" ht="39" customHeight="1" x14ac:dyDescent="0.15">
      <c r="A270" s="12">
        <f t="shared" si="1"/>
        <v>264</v>
      </c>
      <c r="B270" s="13" t="s">
        <v>727</v>
      </c>
      <c r="C270" s="6">
        <v>45493.42</v>
      </c>
      <c r="D270" s="14">
        <v>45493.42</v>
      </c>
      <c r="E270" s="8" t="s">
        <v>530</v>
      </c>
      <c r="F270" s="6"/>
      <c r="G270" s="21"/>
      <c r="H270" s="12"/>
      <c r="I270" s="12"/>
      <c r="J270" s="12"/>
      <c r="K270" s="18"/>
      <c r="M270" s="19">
        <v>0</v>
      </c>
      <c r="N270" s="20"/>
      <c r="Q270" s="2"/>
      <c r="R270" s="2"/>
    </row>
    <row r="271" spans="1:18" ht="39" customHeight="1" x14ac:dyDescent="0.15">
      <c r="A271" s="12">
        <f t="shared" si="1"/>
        <v>265</v>
      </c>
      <c r="B271" s="13" t="s">
        <v>728</v>
      </c>
      <c r="C271" s="6">
        <v>45381.440000000002</v>
      </c>
      <c r="D271" s="14">
        <v>285381.44</v>
      </c>
      <c r="E271" s="15"/>
      <c r="F271" s="6" t="s">
        <v>462</v>
      </c>
      <c r="G271" s="21"/>
      <c r="H271" s="12"/>
      <c r="I271" s="12"/>
      <c r="J271" s="12"/>
      <c r="K271" s="18"/>
      <c r="M271" s="19">
        <v>240000</v>
      </c>
      <c r="N271" s="20"/>
      <c r="Q271" s="2"/>
      <c r="R271" s="2"/>
    </row>
    <row r="272" spans="1:18" ht="39" customHeight="1" x14ac:dyDescent="0.15">
      <c r="A272" s="12">
        <f t="shared" si="1"/>
        <v>266</v>
      </c>
      <c r="B272" s="13" t="s">
        <v>729</v>
      </c>
      <c r="C272" s="6">
        <v>44086.49</v>
      </c>
      <c r="D272" s="14">
        <v>3675287.14</v>
      </c>
      <c r="E272" s="15"/>
      <c r="F272" s="6" t="s">
        <v>464</v>
      </c>
      <c r="G272" s="12"/>
      <c r="H272" s="12"/>
      <c r="I272" s="12"/>
      <c r="J272" s="12"/>
      <c r="K272" s="18"/>
      <c r="M272" s="19">
        <v>0</v>
      </c>
      <c r="N272" s="20"/>
      <c r="Q272" s="2"/>
      <c r="R272" s="2"/>
    </row>
    <row r="273" spans="1:18" ht="39" customHeight="1" thickBot="1" x14ac:dyDescent="0.2">
      <c r="A273" s="12">
        <f t="shared" si="1"/>
        <v>267</v>
      </c>
      <c r="B273" s="13" t="s">
        <v>730</v>
      </c>
      <c r="C273" s="6">
        <v>39464.879999999997</v>
      </c>
      <c r="D273" s="14">
        <v>39464.879999999997</v>
      </c>
      <c r="E273" s="15"/>
      <c r="F273" s="6" t="s">
        <v>464</v>
      </c>
      <c r="G273" s="21"/>
      <c r="H273" s="12"/>
      <c r="I273" s="12"/>
      <c r="J273" s="17"/>
      <c r="K273" s="18"/>
      <c r="M273" s="19">
        <v>0</v>
      </c>
      <c r="N273" s="20"/>
      <c r="Q273" s="2"/>
      <c r="R273" s="2"/>
    </row>
    <row r="274" spans="1:18" ht="39" customHeight="1" x14ac:dyDescent="0.15">
      <c r="A274" s="12">
        <f t="shared" si="1"/>
        <v>268</v>
      </c>
      <c r="B274" s="13" t="s">
        <v>731</v>
      </c>
      <c r="C274" s="6">
        <v>36411.51</v>
      </c>
      <c r="D274" s="14">
        <v>36411.51</v>
      </c>
      <c r="E274" s="8" t="s">
        <v>530</v>
      </c>
      <c r="F274" s="6"/>
      <c r="G274" s="12"/>
      <c r="H274" s="12"/>
      <c r="I274" s="12"/>
      <c r="J274" s="12"/>
      <c r="K274" s="18"/>
      <c r="M274" s="19">
        <v>0</v>
      </c>
      <c r="N274" s="20"/>
      <c r="Q274" s="2"/>
      <c r="R274" s="2"/>
    </row>
    <row r="275" spans="1:18" ht="39" customHeight="1" x14ac:dyDescent="0.15">
      <c r="A275" s="12">
        <f t="shared" si="1"/>
        <v>269</v>
      </c>
      <c r="B275" s="13" t="s">
        <v>732</v>
      </c>
      <c r="C275" s="6">
        <v>36000.47</v>
      </c>
      <c r="D275" s="14">
        <v>36000.47</v>
      </c>
      <c r="E275" s="8" t="s">
        <v>530</v>
      </c>
      <c r="F275" s="6"/>
      <c r="G275" s="12"/>
      <c r="H275" s="12"/>
      <c r="I275" s="12"/>
      <c r="J275" s="12"/>
      <c r="K275" s="18"/>
      <c r="M275" s="19">
        <v>0</v>
      </c>
      <c r="N275" s="20"/>
      <c r="Q275" s="2"/>
      <c r="R275" s="2"/>
    </row>
    <row r="276" spans="1:18" ht="39" customHeight="1" x14ac:dyDescent="0.15">
      <c r="A276" s="12">
        <f t="shared" si="1"/>
        <v>270</v>
      </c>
      <c r="B276" s="13" t="s">
        <v>733</v>
      </c>
      <c r="C276" s="6">
        <v>35215.760000000002</v>
      </c>
      <c r="D276" s="14">
        <v>35215.760000000002</v>
      </c>
      <c r="E276" s="8" t="s">
        <v>530</v>
      </c>
      <c r="F276" s="6"/>
      <c r="G276" s="12"/>
      <c r="H276" s="12"/>
      <c r="I276" s="12"/>
      <c r="J276" s="12"/>
      <c r="K276" s="18"/>
      <c r="M276" s="19">
        <v>0</v>
      </c>
      <c r="N276" s="20"/>
      <c r="Q276" s="2"/>
      <c r="R276" s="2"/>
    </row>
    <row r="277" spans="1:18" ht="39" customHeight="1" x14ac:dyDescent="0.15">
      <c r="A277" s="12">
        <f t="shared" si="1"/>
        <v>271</v>
      </c>
      <c r="B277" s="13" t="s">
        <v>734</v>
      </c>
      <c r="C277" s="6">
        <v>33800</v>
      </c>
      <c r="D277" s="14">
        <v>33800</v>
      </c>
      <c r="E277" s="8" t="s">
        <v>530</v>
      </c>
      <c r="F277" s="6"/>
      <c r="G277" s="21"/>
      <c r="H277" s="12"/>
      <c r="I277" s="12"/>
      <c r="J277" s="12"/>
      <c r="K277" s="18"/>
      <c r="M277" s="19">
        <v>0</v>
      </c>
      <c r="N277" s="20"/>
      <c r="Q277" s="2"/>
      <c r="R277" s="2"/>
    </row>
    <row r="278" spans="1:18" ht="39" customHeight="1" x14ac:dyDescent="0.15">
      <c r="A278" s="12">
        <f t="shared" si="1"/>
        <v>272</v>
      </c>
      <c r="B278" s="13" t="s">
        <v>735</v>
      </c>
      <c r="C278" s="6">
        <v>32650</v>
      </c>
      <c r="D278" s="14">
        <v>-45</v>
      </c>
      <c r="E278" s="15"/>
      <c r="F278" s="6" t="s">
        <v>464</v>
      </c>
      <c r="G278" s="12"/>
      <c r="H278" s="12"/>
      <c r="I278" s="12"/>
      <c r="J278" s="12"/>
      <c r="K278" s="18"/>
      <c r="M278" s="19">
        <v>108620</v>
      </c>
      <c r="N278" s="20"/>
      <c r="Q278" s="2"/>
      <c r="R278" s="2"/>
    </row>
    <row r="279" spans="1:18" ht="39" customHeight="1" x14ac:dyDescent="0.15">
      <c r="A279" s="12">
        <f t="shared" si="1"/>
        <v>273</v>
      </c>
      <c r="B279" s="13" t="s">
        <v>736</v>
      </c>
      <c r="C279" s="6">
        <v>31352.83</v>
      </c>
      <c r="D279" s="14">
        <v>31352.83</v>
      </c>
      <c r="E279" s="15"/>
      <c r="F279" s="6" t="s">
        <v>464</v>
      </c>
      <c r="G279" s="21"/>
      <c r="H279" s="12"/>
      <c r="I279" s="12"/>
      <c r="J279" s="12"/>
      <c r="K279" s="18"/>
      <c r="M279" s="19">
        <v>0</v>
      </c>
      <c r="N279" s="20"/>
      <c r="Q279" s="2"/>
      <c r="R279" s="2"/>
    </row>
    <row r="280" spans="1:18" ht="39" customHeight="1" x14ac:dyDescent="0.15">
      <c r="A280" s="12">
        <f t="shared" si="1"/>
        <v>274</v>
      </c>
      <c r="B280" s="13" t="s">
        <v>737</v>
      </c>
      <c r="C280" s="6">
        <v>28450</v>
      </c>
      <c r="D280" s="14">
        <v>28450</v>
      </c>
      <c r="E280" s="8" t="s">
        <v>530</v>
      </c>
      <c r="F280" s="6"/>
      <c r="G280" s="21"/>
      <c r="H280" s="12"/>
      <c r="I280" s="12"/>
      <c r="J280" s="12"/>
      <c r="K280" s="18"/>
      <c r="M280" s="19">
        <v>0</v>
      </c>
      <c r="N280" s="20"/>
      <c r="Q280" s="2"/>
      <c r="R280" s="2"/>
    </row>
    <row r="281" spans="1:18" ht="39" customHeight="1" x14ac:dyDescent="0.15">
      <c r="A281" s="12">
        <f t="shared" si="1"/>
        <v>275</v>
      </c>
      <c r="B281" s="13" t="s">
        <v>738</v>
      </c>
      <c r="C281" s="6">
        <v>27482.73</v>
      </c>
      <c r="D281" s="14">
        <v>27482.73</v>
      </c>
      <c r="E281" s="8" t="s">
        <v>530</v>
      </c>
      <c r="F281" s="6"/>
      <c r="G281" s="21"/>
      <c r="H281" s="12"/>
      <c r="I281" s="12"/>
      <c r="J281" s="12"/>
      <c r="K281" s="18"/>
      <c r="M281" s="19">
        <v>0</v>
      </c>
      <c r="N281" s="20"/>
      <c r="Q281" s="2"/>
      <c r="R281" s="2"/>
    </row>
    <row r="282" spans="1:18" ht="39" customHeight="1" x14ac:dyDescent="0.15">
      <c r="A282" s="12">
        <f t="shared" si="1"/>
        <v>276</v>
      </c>
      <c r="B282" s="13" t="s">
        <v>739</v>
      </c>
      <c r="C282" s="6">
        <v>20393.830000000002</v>
      </c>
      <c r="D282" s="14">
        <v>20393.830000000002</v>
      </c>
      <c r="E282" s="8" t="s">
        <v>530</v>
      </c>
      <c r="F282" s="6"/>
      <c r="G282" s="21"/>
      <c r="H282" s="12"/>
      <c r="I282" s="12"/>
      <c r="J282" s="12"/>
      <c r="K282" s="18"/>
      <c r="M282" s="19">
        <v>0</v>
      </c>
      <c r="N282" s="20"/>
      <c r="Q282" s="2"/>
      <c r="R282" s="2"/>
    </row>
    <row r="283" spans="1:18" ht="39" customHeight="1" x14ac:dyDescent="0.15">
      <c r="A283" s="12">
        <f t="shared" si="1"/>
        <v>277</v>
      </c>
      <c r="B283" s="13" t="s">
        <v>740</v>
      </c>
      <c r="C283" s="6">
        <v>19635.169999999998</v>
      </c>
      <c r="D283" s="14">
        <v>24132.32</v>
      </c>
      <c r="E283" s="8" t="s">
        <v>530</v>
      </c>
      <c r="F283" s="6"/>
      <c r="G283" s="12"/>
      <c r="H283" s="12"/>
      <c r="I283" s="12"/>
      <c r="J283" s="12"/>
      <c r="K283" s="18"/>
      <c r="M283" s="19">
        <v>0</v>
      </c>
      <c r="N283" s="20"/>
      <c r="Q283" s="2"/>
      <c r="R283" s="2"/>
    </row>
    <row r="284" spans="1:18" ht="39" customHeight="1" x14ac:dyDescent="0.15">
      <c r="A284" s="12">
        <f t="shared" si="1"/>
        <v>278</v>
      </c>
      <c r="B284" s="13" t="s">
        <v>741</v>
      </c>
      <c r="C284" s="6">
        <v>17750.91</v>
      </c>
      <c r="D284" s="14">
        <v>17750.91</v>
      </c>
      <c r="E284" s="8" t="s">
        <v>530</v>
      </c>
      <c r="F284" s="6"/>
      <c r="G284" s="21"/>
      <c r="H284" s="12"/>
      <c r="I284" s="12"/>
      <c r="J284" s="12"/>
      <c r="K284" s="18"/>
      <c r="M284" s="19">
        <v>0</v>
      </c>
      <c r="N284" s="20"/>
      <c r="Q284" s="2"/>
      <c r="R284" s="2"/>
    </row>
    <row r="285" spans="1:18" ht="39" customHeight="1" x14ac:dyDescent="0.15">
      <c r="A285" s="12">
        <f t="shared" si="1"/>
        <v>279</v>
      </c>
      <c r="B285" s="13" t="s">
        <v>742</v>
      </c>
      <c r="C285" s="6">
        <v>16671.509999999998</v>
      </c>
      <c r="D285" s="14">
        <v>161671.51</v>
      </c>
      <c r="E285" s="15"/>
      <c r="F285" s="6" t="s">
        <v>464</v>
      </c>
      <c r="G285" s="12"/>
      <c r="H285" s="12"/>
      <c r="I285" s="12"/>
      <c r="J285" s="12"/>
      <c r="K285" s="18"/>
      <c r="M285" s="19">
        <v>145000</v>
      </c>
      <c r="N285" s="20"/>
      <c r="Q285" s="2"/>
      <c r="R285" s="2"/>
    </row>
    <row r="286" spans="1:18" ht="39" customHeight="1" x14ac:dyDescent="0.15">
      <c r="A286" s="12">
        <f t="shared" si="1"/>
        <v>280</v>
      </c>
      <c r="B286" s="13" t="s">
        <v>743</v>
      </c>
      <c r="C286" s="6">
        <v>14210</v>
      </c>
      <c r="D286" s="14">
        <v>14210</v>
      </c>
      <c r="E286" s="15"/>
      <c r="F286" s="6" t="s">
        <v>462</v>
      </c>
      <c r="G286" s="12"/>
      <c r="H286" s="12"/>
      <c r="I286" s="12"/>
      <c r="J286" s="12"/>
      <c r="K286" s="18"/>
      <c r="M286" s="19">
        <v>0</v>
      </c>
      <c r="N286" s="20"/>
      <c r="Q286" s="2"/>
      <c r="R286" s="2"/>
    </row>
    <row r="287" spans="1:18" ht="39" customHeight="1" x14ac:dyDescent="0.15">
      <c r="A287" s="12">
        <f t="shared" si="1"/>
        <v>281</v>
      </c>
      <c r="B287" s="13" t="s">
        <v>744</v>
      </c>
      <c r="C287" s="6">
        <v>13230</v>
      </c>
      <c r="D287" s="14">
        <v>13230</v>
      </c>
      <c r="E287" s="8" t="s">
        <v>530</v>
      </c>
      <c r="F287" s="6"/>
      <c r="G287" s="12"/>
      <c r="H287" s="12"/>
      <c r="I287" s="12"/>
      <c r="J287" s="12"/>
      <c r="K287" s="18"/>
      <c r="M287" s="19">
        <v>0</v>
      </c>
      <c r="N287" s="20"/>
      <c r="Q287" s="2"/>
      <c r="R287" s="2"/>
    </row>
    <row r="288" spans="1:18" ht="39" customHeight="1" x14ac:dyDescent="0.15">
      <c r="A288" s="12">
        <f t="shared" si="1"/>
        <v>282</v>
      </c>
      <c r="B288" s="13" t="s">
        <v>745</v>
      </c>
      <c r="C288" s="6">
        <v>11877.14</v>
      </c>
      <c r="D288" s="14">
        <v>11877.14</v>
      </c>
      <c r="E288" s="8" t="s">
        <v>530</v>
      </c>
      <c r="F288" s="6"/>
      <c r="G288" s="12"/>
      <c r="H288" s="12"/>
      <c r="I288" s="12"/>
      <c r="J288" s="12"/>
      <c r="K288" s="18"/>
      <c r="M288" s="19">
        <v>0</v>
      </c>
      <c r="N288" s="20"/>
      <c r="Q288" s="2"/>
      <c r="R288" s="2"/>
    </row>
    <row r="289" spans="1:18" ht="39" customHeight="1" x14ac:dyDescent="0.15">
      <c r="A289" s="12">
        <f t="shared" si="1"/>
        <v>283</v>
      </c>
      <c r="B289" s="13" t="s">
        <v>746</v>
      </c>
      <c r="C289" s="6">
        <v>10499.72</v>
      </c>
      <c r="D289" s="14">
        <v>10499.72</v>
      </c>
      <c r="E289" s="15"/>
      <c r="F289" s="6" t="s">
        <v>464</v>
      </c>
      <c r="G289" s="21"/>
      <c r="H289" s="12"/>
      <c r="I289" s="12"/>
      <c r="J289" s="12"/>
      <c r="K289" s="18"/>
      <c r="M289" s="19">
        <v>0</v>
      </c>
      <c r="N289" s="20"/>
      <c r="Q289" s="2"/>
      <c r="R289" s="2"/>
    </row>
    <row r="290" spans="1:18" ht="39" customHeight="1" x14ac:dyDescent="0.15">
      <c r="A290" s="12">
        <f t="shared" si="1"/>
        <v>284</v>
      </c>
      <c r="B290" s="13" t="s">
        <v>747</v>
      </c>
      <c r="C290" s="6">
        <v>10484</v>
      </c>
      <c r="D290" s="14">
        <v>10484</v>
      </c>
      <c r="E290" s="8" t="s">
        <v>530</v>
      </c>
      <c r="F290" s="6"/>
      <c r="G290" s="12"/>
      <c r="H290" s="12"/>
      <c r="I290" s="12"/>
      <c r="J290" s="12"/>
      <c r="K290" s="18"/>
      <c r="M290" s="19">
        <v>0</v>
      </c>
      <c r="N290" s="20"/>
      <c r="Q290" s="2"/>
      <c r="R290" s="2"/>
    </row>
    <row r="291" spans="1:18" ht="39" customHeight="1" x14ac:dyDescent="0.15">
      <c r="A291" s="12">
        <f t="shared" si="1"/>
        <v>285</v>
      </c>
      <c r="B291" s="13" t="s">
        <v>748</v>
      </c>
      <c r="C291" s="6">
        <v>10157.780000000001</v>
      </c>
      <c r="D291" s="14">
        <v>0.48</v>
      </c>
      <c r="E291" s="15"/>
      <c r="F291" s="6" t="s">
        <v>464</v>
      </c>
      <c r="G291" s="21"/>
      <c r="H291" s="12"/>
      <c r="I291" s="12"/>
      <c r="J291" s="12"/>
      <c r="K291" s="18"/>
      <c r="M291" s="19">
        <v>120000</v>
      </c>
      <c r="N291" s="20"/>
      <c r="Q291" s="2"/>
      <c r="R291" s="2"/>
    </row>
    <row r="292" spans="1:18" ht="39" customHeight="1" x14ac:dyDescent="0.15">
      <c r="A292" s="12">
        <f t="shared" si="1"/>
        <v>286</v>
      </c>
      <c r="B292" s="13" t="s">
        <v>749</v>
      </c>
      <c r="C292" s="6">
        <v>8776.7999999999993</v>
      </c>
      <c r="D292" s="14">
        <v>8776.7999999999993</v>
      </c>
      <c r="E292" s="8" t="s">
        <v>530</v>
      </c>
      <c r="F292" s="6"/>
      <c r="G292" s="21"/>
      <c r="H292" s="12"/>
      <c r="I292" s="12"/>
      <c r="J292" s="12"/>
      <c r="K292" s="18"/>
      <c r="M292" s="19">
        <v>0</v>
      </c>
      <c r="N292" s="20"/>
      <c r="Q292" s="2"/>
      <c r="R292" s="2"/>
    </row>
    <row r="293" spans="1:18" ht="39" customHeight="1" x14ac:dyDescent="0.15">
      <c r="A293" s="12">
        <f t="shared" si="1"/>
        <v>287</v>
      </c>
      <c r="B293" s="13" t="s">
        <v>750</v>
      </c>
      <c r="C293" s="6">
        <v>8600.0300000000007</v>
      </c>
      <c r="D293" s="14">
        <v>83600</v>
      </c>
      <c r="E293" s="15"/>
      <c r="F293" s="6" t="s">
        <v>464</v>
      </c>
      <c r="G293" s="21"/>
      <c r="H293" s="12"/>
      <c r="I293" s="12"/>
      <c r="J293" s="12"/>
      <c r="K293" s="18"/>
      <c r="M293" s="19">
        <v>45000</v>
      </c>
      <c r="N293" s="20"/>
      <c r="Q293" s="2"/>
      <c r="R293" s="2"/>
    </row>
    <row r="294" spans="1:18" ht="39" customHeight="1" x14ac:dyDescent="0.15">
      <c r="A294" s="12">
        <f t="shared" si="1"/>
        <v>288</v>
      </c>
      <c r="B294" s="13" t="s">
        <v>751</v>
      </c>
      <c r="C294" s="6">
        <v>7479.4800000000005</v>
      </c>
      <c r="D294" s="14">
        <v>7479.4800000000005</v>
      </c>
      <c r="E294" s="8" t="s">
        <v>530</v>
      </c>
      <c r="F294" s="6"/>
      <c r="G294" s="12"/>
      <c r="H294" s="12"/>
      <c r="I294" s="12"/>
      <c r="J294" s="12"/>
      <c r="K294" s="18"/>
      <c r="M294" s="19">
        <v>0</v>
      </c>
      <c r="N294" s="20"/>
      <c r="Q294" s="2"/>
      <c r="R294" s="2"/>
    </row>
    <row r="295" spans="1:18" ht="39" customHeight="1" x14ac:dyDescent="0.15">
      <c r="A295" s="12">
        <f t="shared" si="1"/>
        <v>289</v>
      </c>
      <c r="B295" s="13" t="s">
        <v>752</v>
      </c>
      <c r="C295" s="6">
        <v>3686.78</v>
      </c>
      <c r="D295" s="14">
        <v>-33212.1</v>
      </c>
      <c r="E295" s="15" t="s">
        <v>839</v>
      </c>
      <c r="F295" s="6" t="s">
        <v>464</v>
      </c>
      <c r="G295" s="21"/>
      <c r="H295" s="12"/>
      <c r="I295" s="12"/>
      <c r="J295" s="12"/>
      <c r="K295" s="18"/>
      <c r="M295" s="19">
        <v>45000</v>
      </c>
      <c r="N295" s="20"/>
      <c r="Q295" s="2"/>
      <c r="R295" s="2"/>
    </row>
    <row r="296" spans="1:18" ht="39" customHeight="1" x14ac:dyDescent="0.15">
      <c r="A296" s="12">
        <f t="shared" si="1"/>
        <v>290</v>
      </c>
      <c r="B296" s="13" t="s">
        <v>753</v>
      </c>
      <c r="C296" s="6">
        <v>3652.1800000000003</v>
      </c>
      <c r="D296" s="14">
        <v>78652.179999999993</v>
      </c>
      <c r="E296" s="15" t="s">
        <v>839</v>
      </c>
      <c r="F296" s="6" t="s">
        <v>464</v>
      </c>
      <c r="G296" s="12"/>
      <c r="H296" s="12"/>
      <c r="I296" s="12"/>
      <c r="J296" s="12"/>
      <c r="K296" s="18"/>
      <c r="M296" s="19">
        <v>75000</v>
      </c>
      <c r="N296" s="20"/>
      <c r="Q296" s="2"/>
      <c r="R296" s="2"/>
    </row>
    <row r="297" spans="1:18" ht="39" customHeight="1" x14ac:dyDescent="0.15">
      <c r="A297" s="12">
        <f t="shared" si="1"/>
        <v>291</v>
      </c>
      <c r="B297" s="13" t="s">
        <v>754</v>
      </c>
      <c r="C297" s="6">
        <v>1790</v>
      </c>
      <c r="D297" s="14">
        <v>0</v>
      </c>
      <c r="E297" s="15" t="s">
        <v>839</v>
      </c>
      <c r="F297" s="6" t="s">
        <v>462</v>
      </c>
      <c r="G297" s="21"/>
      <c r="H297" s="12"/>
      <c r="I297" s="12"/>
      <c r="J297" s="12"/>
      <c r="K297" s="18"/>
      <c r="M297" s="19">
        <v>1697820</v>
      </c>
      <c r="N297" s="20"/>
      <c r="Q297" s="2"/>
      <c r="R297" s="2"/>
    </row>
    <row r="298" spans="1:18" ht="39" customHeight="1" x14ac:dyDescent="0.15">
      <c r="A298" s="12">
        <f t="shared" si="1"/>
        <v>292</v>
      </c>
      <c r="B298" s="13" t="s">
        <v>755</v>
      </c>
      <c r="C298" s="6">
        <v>1626.2</v>
      </c>
      <c r="D298" s="14">
        <v>1626.2</v>
      </c>
      <c r="E298" s="15" t="s">
        <v>839</v>
      </c>
      <c r="F298" s="6"/>
      <c r="G298" s="12"/>
      <c r="H298" s="12"/>
      <c r="I298" s="12"/>
      <c r="J298" s="12"/>
      <c r="K298" s="18"/>
      <c r="M298" s="19">
        <v>0</v>
      </c>
      <c r="N298" s="20"/>
      <c r="Q298" s="2"/>
      <c r="R298" s="2"/>
    </row>
    <row r="299" spans="1:18" ht="39" customHeight="1" x14ac:dyDescent="0.15">
      <c r="A299" s="12">
        <f t="shared" si="1"/>
        <v>293</v>
      </c>
      <c r="B299" s="13" t="s">
        <v>756</v>
      </c>
      <c r="C299" s="6">
        <v>915.12</v>
      </c>
      <c r="D299" s="14">
        <v>104915.12</v>
      </c>
      <c r="E299" s="15" t="s">
        <v>839</v>
      </c>
      <c r="F299" s="6"/>
      <c r="G299" s="12"/>
      <c r="H299" s="12"/>
      <c r="I299" s="12"/>
      <c r="J299" s="12"/>
      <c r="K299" s="18"/>
      <c r="M299" s="19">
        <v>104000</v>
      </c>
      <c r="N299" s="20"/>
      <c r="Q299" s="2"/>
      <c r="R299" s="2"/>
    </row>
    <row r="300" spans="1:18" ht="39" customHeight="1" x14ac:dyDescent="0.15">
      <c r="A300" s="12">
        <f t="shared" si="1"/>
        <v>294</v>
      </c>
      <c r="B300" s="13" t="s">
        <v>757</v>
      </c>
      <c r="C300" s="6">
        <v>481.3</v>
      </c>
      <c r="D300" s="14">
        <v>481.3</v>
      </c>
      <c r="E300" s="15" t="s">
        <v>839</v>
      </c>
      <c r="F300" s="6"/>
      <c r="G300" s="21"/>
      <c r="J300" s="12"/>
      <c r="K300" s="18"/>
      <c r="M300" s="19">
        <v>0</v>
      </c>
      <c r="N300" s="20"/>
      <c r="Q300" s="2"/>
      <c r="R300" s="2"/>
    </row>
    <row r="301" spans="1:18" ht="39" customHeight="1" x14ac:dyDescent="0.15">
      <c r="A301" s="12">
        <f t="shared" si="1"/>
        <v>295</v>
      </c>
      <c r="B301" s="13" t="s">
        <v>758</v>
      </c>
      <c r="C301" s="6">
        <v>349.94</v>
      </c>
      <c r="D301" s="14">
        <v>349.94</v>
      </c>
      <c r="E301" s="15" t="s">
        <v>839</v>
      </c>
      <c r="F301" s="6"/>
      <c r="G301" s="21"/>
      <c r="H301" s="12"/>
      <c r="I301" s="12"/>
      <c r="J301" s="17"/>
      <c r="K301" s="18"/>
      <c r="M301" s="19">
        <v>0</v>
      </c>
      <c r="N301" s="20"/>
      <c r="Q301" s="2"/>
      <c r="R301" s="2"/>
    </row>
    <row r="302" spans="1:18" ht="39" customHeight="1" x14ac:dyDescent="0.15">
      <c r="A302" s="12">
        <f t="shared" si="1"/>
        <v>296</v>
      </c>
      <c r="B302" s="13" t="s">
        <v>759</v>
      </c>
      <c r="C302" s="6">
        <v>248.67000000000002</v>
      </c>
      <c r="D302" s="14">
        <v>248.67000000000002</v>
      </c>
      <c r="E302" s="15" t="s">
        <v>839</v>
      </c>
      <c r="F302" s="6"/>
      <c r="G302" s="12"/>
      <c r="H302" s="12"/>
      <c r="I302" s="12"/>
      <c r="J302" s="12"/>
      <c r="K302" s="18"/>
      <c r="M302" s="19">
        <v>0</v>
      </c>
      <c r="N302" s="20"/>
      <c r="Q302" s="2"/>
      <c r="R302" s="2"/>
    </row>
    <row r="303" spans="1:18" ht="39" customHeight="1" x14ac:dyDescent="0.15">
      <c r="A303" s="12">
        <f t="shared" si="1"/>
        <v>297</v>
      </c>
      <c r="B303" s="13" t="s">
        <v>760</v>
      </c>
      <c r="C303" s="6">
        <v>159.99</v>
      </c>
      <c r="D303" s="14">
        <v>79659.990000000005</v>
      </c>
      <c r="E303" s="15" t="s">
        <v>839</v>
      </c>
      <c r="F303" s="6"/>
      <c r="G303" s="21"/>
      <c r="H303" s="12"/>
      <c r="I303" s="12"/>
      <c r="J303" s="12"/>
      <c r="K303" s="18"/>
      <c r="M303" s="19">
        <v>79500</v>
      </c>
      <c r="N303" s="20"/>
      <c r="Q303" s="2"/>
      <c r="R303" s="2"/>
    </row>
    <row r="304" spans="1:18" ht="39" customHeight="1" x14ac:dyDescent="0.15">
      <c r="A304" s="12">
        <f t="shared" si="1"/>
        <v>298</v>
      </c>
      <c r="B304" s="13" t="s">
        <v>761</v>
      </c>
      <c r="C304" s="6">
        <v>97.25</v>
      </c>
      <c r="D304" s="14">
        <v>97.25</v>
      </c>
      <c r="E304" s="15" t="s">
        <v>839</v>
      </c>
      <c r="F304" s="6"/>
      <c r="G304" s="12"/>
      <c r="H304" s="12"/>
      <c r="I304" s="12"/>
      <c r="J304" s="12"/>
      <c r="K304" s="18"/>
      <c r="M304" s="19">
        <v>0</v>
      </c>
      <c r="N304" s="20"/>
      <c r="Q304" s="2"/>
      <c r="R304" s="2"/>
    </row>
    <row r="305" spans="1:18" ht="39" customHeight="1" x14ac:dyDescent="0.15">
      <c r="A305" s="12">
        <f t="shared" si="1"/>
        <v>299</v>
      </c>
      <c r="B305" s="13" t="s">
        <v>762</v>
      </c>
      <c r="C305" s="6">
        <v>74.599999999999994</v>
      </c>
      <c r="D305" s="14">
        <v>48574.6</v>
      </c>
      <c r="E305" s="15" t="s">
        <v>839</v>
      </c>
      <c r="F305" s="6"/>
      <c r="G305" s="21"/>
      <c r="H305" s="12"/>
      <c r="I305" s="12"/>
      <c r="J305" s="12"/>
      <c r="K305" s="18"/>
      <c r="M305" s="19">
        <v>48500</v>
      </c>
      <c r="N305" s="20"/>
      <c r="Q305" s="2"/>
      <c r="R305" s="2"/>
    </row>
    <row r="306" spans="1:18" ht="39" customHeight="1" x14ac:dyDescent="0.15">
      <c r="A306" s="12">
        <f t="shared" si="1"/>
        <v>300</v>
      </c>
      <c r="B306" s="13" t="s">
        <v>763</v>
      </c>
      <c r="C306" s="6">
        <v>67.45</v>
      </c>
      <c r="D306" s="14">
        <v>67.45</v>
      </c>
      <c r="E306" s="15" t="s">
        <v>839</v>
      </c>
      <c r="F306" s="6"/>
      <c r="G306" s="21"/>
      <c r="H306" s="12"/>
      <c r="I306" s="12"/>
      <c r="J306" s="17"/>
      <c r="K306" s="18"/>
      <c r="M306" s="19">
        <v>0</v>
      </c>
      <c r="N306" s="20"/>
      <c r="Q306" s="2"/>
      <c r="R306" s="2"/>
    </row>
    <row r="307" spans="1:18" ht="39" customHeight="1" x14ac:dyDescent="0.15">
      <c r="A307" s="12">
        <f t="shared" si="1"/>
        <v>301</v>
      </c>
      <c r="B307" s="13" t="s">
        <v>764</v>
      </c>
      <c r="C307" s="6">
        <v>65.63</v>
      </c>
      <c r="D307" s="14">
        <v>65.63</v>
      </c>
      <c r="E307" s="15" t="s">
        <v>839</v>
      </c>
      <c r="F307" s="6"/>
      <c r="G307" s="12"/>
      <c r="H307" s="12"/>
      <c r="I307" s="12"/>
      <c r="J307" s="12"/>
      <c r="K307" s="18"/>
      <c r="M307" s="19">
        <v>0</v>
      </c>
      <c r="N307" s="20"/>
      <c r="Q307" s="2"/>
      <c r="R307" s="2"/>
    </row>
    <row r="308" spans="1:18" ht="39" customHeight="1" x14ac:dyDescent="0.15">
      <c r="A308" s="12">
        <f t="shared" si="1"/>
        <v>302</v>
      </c>
      <c r="B308" s="13" t="s">
        <v>765</v>
      </c>
      <c r="C308" s="6">
        <v>40</v>
      </c>
      <c r="D308" s="14">
        <v>40</v>
      </c>
      <c r="E308" s="15" t="s">
        <v>839</v>
      </c>
      <c r="F308" s="6"/>
      <c r="G308" s="12"/>
      <c r="H308" s="12"/>
      <c r="I308" s="12"/>
      <c r="J308" s="12"/>
      <c r="K308" s="18"/>
      <c r="M308" s="19">
        <v>0</v>
      </c>
      <c r="N308" s="20"/>
      <c r="Q308" s="2"/>
      <c r="R308" s="2"/>
    </row>
    <row r="309" spans="1:18" ht="39" customHeight="1" x14ac:dyDescent="0.15">
      <c r="A309" s="12">
        <f t="shared" si="1"/>
        <v>303</v>
      </c>
      <c r="B309" s="13" t="s">
        <v>766</v>
      </c>
      <c r="C309" s="6">
        <v>24.92</v>
      </c>
      <c r="D309" s="14">
        <v>24.92</v>
      </c>
      <c r="E309" s="15" t="s">
        <v>839</v>
      </c>
      <c r="F309" s="6"/>
      <c r="G309" s="12"/>
      <c r="H309" s="12"/>
      <c r="I309" s="12"/>
      <c r="J309" s="12"/>
      <c r="K309" s="18"/>
      <c r="M309" s="19">
        <v>0</v>
      </c>
      <c r="N309" s="20"/>
      <c r="Q309" s="2"/>
      <c r="R309" s="2"/>
    </row>
    <row r="310" spans="1:18" ht="39" customHeight="1" x14ac:dyDescent="0.15">
      <c r="A310" s="12">
        <f t="shared" si="1"/>
        <v>304</v>
      </c>
      <c r="B310" s="13" t="s">
        <v>767</v>
      </c>
      <c r="C310" s="6">
        <v>20</v>
      </c>
      <c r="D310" s="14">
        <v>20</v>
      </c>
      <c r="E310" s="15" t="s">
        <v>839</v>
      </c>
      <c r="F310" s="6"/>
      <c r="G310" s="21"/>
      <c r="H310" s="12"/>
      <c r="I310" s="12"/>
      <c r="J310" s="12"/>
      <c r="K310" s="18"/>
      <c r="M310" s="19">
        <v>0</v>
      </c>
      <c r="N310" s="20"/>
      <c r="Q310" s="2"/>
      <c r="R310" s="2"/>
    </row>
    <row r="311" spans="1:18" ht="39" customHeight="1" x14ac:dyDescent="0.15">
      <c r="A311" s="12">
        <f t="shared" si="1"/>
        <v>305</v>
      </c>
      <c r="B311" s="13" t="s">
        <v>768</v>
      </c>
      <c r="C311" s="6">
        <v>1.2</v>
      </c>
      <c r="D311" s="14">
        <v>591177</v>
      </c>
      <c r="E311" s="15" t="s">
        <v>839</v>
      </c>
      <c r="F311" s="6"/>
      <c r="G311" s="21"/>
      <c r="H311" s="12"/>
      <c r="I311" s="12"/>
      <c r="J311" s="12"/>
      <c r="K311" s="18"/>
      <c r="M311" s="19">
        <v>5089535</v>
      </c>
      <c r="N311" s="20"/>
      <c r="Q311" s="2"/>
      <c r="R311" s="2"/>
    </row>
    <row r="312" spans="1:18" ht="39" customHeight="1" x14ac:dyDescent="0.15">
      <c r="A312" s="12">
        <f t="shared" si="1"/>
        <v>306</v>
      </c>
      <c r="B312" s="13" t="s">
        <v>769</v>
      </c>
      <c r="C312" s="6">
        <v>0.93</v>
      </c>
      <c r="D312" s="14">
        <v>0.93</v>
      </c>
      <c r="E312" s="15" t="s">
        <v>839</v>
      </c>
      <c r="F312" s="6"/>
      <c r="G312" s="12"/>
      <c r="H312" s="12"/>
      <c r="I312" s="12"/>
      <c r="J312" s="12"/>
      <c r="K312" s="18"/>
      <c r="M312" s="19">
        <v>0</v>
      </c>
      <c r="N312" s="20"/>
      <c r="Q312" s="2"/>
      <c r="R312" s="2"/>
    </row>
    <row r="313" spans="1:18" ht="39" customHeight="1" x14ac:dyDescent="0.15">
      <c r="A313" s="12">
        <f t="shared" si="1"/>
        <v>307</v>
      </c>
      <c r="B313" s="13" t="s">
        <v>770</v>
      </c>
      <c r="C313" s="6">
        <v>0.9</v>
      </c>
      <c r="D313" s="14">
        <v>323406.90000000002</v>
      </c>
      <c r="E313" s="15" t="s">
        <v>839</v>
      </c>
      <c r="F313" s="6"/>
      <c r="G313" s="12"/>
      <c r="H313" s="12"/>
      <c r="I313" s="12"/>
      <c r="J313" s="12"/>
      <c r="K313" s="18"/>
      <c r="M313" s="19">
        <v>323406</v>
      </c>
      <c r="N313" s="20"/>
      <c r="Q313" s="2"/>
      <c r="R313" s="2"/>
    </row>
    <row r="314" spans="1:18" ht="39" customHeight="1" x14ac:dyDescent="0.15">
      <c r="A314" s="12">
        <f t="shared" si="1"/>
        <v>308</v>
      </c>
      <c r="B314" s="13" t="s">
        <v>771</v>
      </c>
      <c r="C314" s="6">
        <v>0.86</v>
      </c>
      <c r="D314" s="14">
        <v>0.86</v>
      </c>
      <c r="E314" s="15" t="s">
        <v>839</v>
      </c>
      <c r="F314" s="6"/>
      <c r="G314" s="21"/>
      <c r="H314" s="12"/>
      <c r="I314" s="12"/>
      <c r="J314" s="12"/>
      <c r="K314" s="18"/>
      <c r="M314" s="19">
        <v>0</v>
      </c>
      <c r="N314" s="20"/>
      <c r="Q314" s="2"/>
      <c r="R314" s="2"/>
    </row>
    <row r="315" spans="1:18" ht="39" customHeight="1" x14ac:dyDescent="0.15">
      <c r="A315" s="12">
        <f t="shared" si="1"/>
        <v>309</v>
      </c>
      <c r="B315" s="13" t="s">
        <v>772</v>
      </c>
      <c r="C315" s="6">
        <v>0.72</v>
      </c>
      <c r="D315" s="14">
        <v>13093.35</v>
      </c>
      <c r="E315" s="15" t="s">
        <v>839</v>
      </c>
      <c r="F315" s="6"/>
      <c r="G315" s="12"/>
      <c r="H315" s="12"/>
      <c r="I315" s="12"/>
      <c r="J315" s="12"/>
      <c r="K315" s="18"/>
      <c r="M315" s="19">
        <v>3504770</v>
      </c>
      <c r="N315" s="20"/>
      <c r="Q315" s="2"/>
      <c r="R315" s="2"/>
    </row>
    <row r="316" spans="1:18" ht="39" customHeight="1" x14ac:dyDescent="0.15">
      <c r="A316" s="12">
        <f t="shared" si="1"/>
        <v>310</v>
      </c>
      <c r="B316" s="13" t="s">
        <v>773</v>
      </c>
      <c r="C316" s="6">
        <v>0.72</v>
      </c>
      <c r="D316" s="14">
        <v>0</v>
      </c>
      <c r="E316" s="15" t="s">
        <v>839</v>
      </c>
      <c r="F316" s="6"/>
      <c r="G316" s="12"/>
      <c r="H316" s="12"/>
      <c r="I316" s="12"/>
      <c r="J316" s="12"/>
      <c r="K316" s="18"/>
      <c r="M316" s="19">
        <v>2648358</v>
      </c>
      <c r="N316" s="20"/>
      <c r="Q316" s="2"/>
      <c r="R316" s="2"/>
    </row>
    <row r="317" spans="1:18" ht="39" customHeight="1" x14ac:dyDescent="0.15">
      <c r="A317" s="12">
        <f t="shared" si="1"/>
        <v>311</v>
      </c>
      <c r="B317" s="13" t="s">
        <v>774</v>
      </c>
      <c r="C317" s="6">
        <v>0.70000000000000007</v>
      </c>
      <c r="D317" s="14">
        <v>409530.7</v>
      </c>
      <c r="E317" s="15" t="s">
        <v>839</v>
      </c>
      <c r="F317" s="6"/>
      <c r="G317" s="12"/>
      <c r="H317" s="12"/>
      <c r="I317" s="12"/>
      <c r="J317" s="12"/>
      <c r="K317" s="18"/>
      <c r="M317" s="19">
        <v>409530</v>
      </c>
      <c r="N317" s="20"/>
      <c r="Q317" s="2"/>
      <c r="R317" s="2"/>
    </row>
    <row r="318" spans="1:18" ht="39" customHeight="1" x14ac:dyDescent="0.15">
      <c r="A318" s="12">
        <f t="shared" si="1"/>
        <v>312</v>
      </c>
      <c r="B318" s="13" t="s">
        <v>775</v>
      </c>
      <c r="C318" s="6">
        <v>0.64</v>
      </c>
      <c r="D318" s="14">
        <v>128390.64</v>
      </c>
      <c r="E318" s="15" t="s">
        <v>839</v>
      </c>
      <c r="F318" s="6"/>
      <c r="G318" s="12"/>
      <c r="H318" s="12"/>
      <c r="I318" s="12"/>
      <c r="J318" s="12"/>
      <c r="K318" s="18"/>
      <c r="M318" s="19">
        <v>118390</v>
      </c>
      <c r="N318" s="20"/>
      <c r="Q318" s="2"/>
      <c r="R318" s="2"/>
    </row>
    <row r="319" spans="1:18" ht="39" customHeight="1" x14ac:dyDescent="0.15">
      <c r="A319" s="12">
        <f t="shared" si="1"/>
        <v>313</v>
      </c>
      <c r="B319" s="13" t="s">
        <v>776</v>
      </c>
      <c r="C319" s="6">
        <v>0.6</v>
      </c>
      <c r="D319" s="14">
        <v>618940</v>
      </c>
      <c r="E319" s="15" t="s">
        <v>839</v>
      </c>
      <c r="F319" s="6"/>
      <c r="G319" s="12"/>
      <c r="H319" s="12"/>
      <c r="I319" s="12"/>
      <c r="J319" s="12"/>
      <c r="K319" s="18"/>
      <c r="M319" s="19">
        <v>1056778</v>
      </c>
      <c r="N319" s="20"/>
      <c r="Q319" s="2"/>
      <c r="R319" s="2"/>
    </row>
    <row r="320" spans="1:18" ht="39" customHeight="1" x14ac:dyDescent="0.15">
      <c r="A320" s="12">
        <f t="shared" si="1"/>
        <v>314</v>
      </c>
      <c r="B320" s="13" t="s">
        <v>777</v>
      </c>
      <c r="C320" s="6">
        <v>0.57999999999999996</v>
      </c>
      <c r="D320" s="14">
        <v>0.57999999999999996</v>
      </c>
      <c r="E320" s="15" t="s">
        <v>839</v>
      </c>
      <c r="F320" s="6"/>
      <c r="G320" s="12"/>
      <c r="H320" s="12"/>
      <c r="I320" s="12"/>
      <c r="J320" s="12"/>
      <c r="K320" s="18"/>
      <c r="M320" s="19">
        <v>0</v>
      </c>
      <c r="N320" s="20"/>
      <c r="Q320" s="2"/>
      <c r="R320" s="2"/>
    </row>
    <row r="321" spans="1:18" ht="39" customHeight="1" x14ac:dyDescent="0.15">
      <c r="A321" s="12">
        <f t="shared" si="1"/>
        <v>315</v>
      </c>
      <c r="B321" s="13" t="s">
        <v>778</v>
      </c>
      <c r="C321" s="6">
        <v>0.56999999999999995</v>
      </c>
      <c r="D321" s="14">
        <v>0.56999999999999995</v>
      </c>
      <c r="E321" s="15" t="s">
        <v>839</v>
      </c>
      <c r="F321" s="6"/>
      <c r="G321" s="21"/>
      <c r="H321" s="12"/>
      <c r="I321" s="12"/>
      <c r="J321" s="12"/>
      <c r="K321" s="18"/>
      <c r="M321" s="19">
        <v>0</v>
      </c>
      <c r="N321" s="20"/>
      <c r="Q321" s="2"/>
      <c r="R321" s="2"/>
    </row>
    <row r="322" spans="1:18" ht="39" customHeight="1" x14ac:dyDescent="0.15">
      <c r="A322" s="12">
        <f t="shared" si="1"/>
        <v>316</v>
      </c>
      <c r="B322" s="13" t="s">
        <v>779</v>
      </c>
      <c r="C322" s="6">
        <v>0.53</v>
      </c>
      <c r="D322" s="14">
        <v>0.53</v>
      </c>
      <c r="E322" s="15" t="s">
        <v>839</v>
      </c>
      <c r="F322" s="6"/>
      <c r="G322" s="21"/>
      <c r="H322" s="12"/>
      <c r="I322" s="12"/>
      <c r="J322" s="12"/>
      <c r="K322" s="18"/>
      <c r="M322" s="19">
        <v>0</v>
      </c>
      <c r="N322" s="20"/>
      <c r="Q322" s="2"/>
      <c r="R322" s="2"/>
    </row>
    <row r="323" spans="1:18" ht="39" customHeight="1" x14ac:dyDescent="0.15">
      <c r="A323" s="12">
        <f t="shared" si="1"/>
        <v>317</v>
      </c>
      <c r="B323" s="13" t="s">
        <v>780</v>
      </c>
      <c r="C323" s="6">
        <v>0.52</v>
      </c>
      <c r="D323" s="14">
        <v>120000.52</v>
      </c>
      <c r="E323" s="15" t="s">
        <v>839</v>
      </c>
      <c r="F323" s="6"/>
      <c r="G323" s="21"/>
      <c r="H323" s="12"/>
      <c r="I323" s="12"/>
      <c r="J323" s="12"/>
      <c r="K323" s="18"/>
      <c r="M323" s="19">
        <v>120000</v>
      </c>
      <c r="N323" s="20"/>
      <c r="Q323" s="2"/>
      <c r="R323" s="2"/>
    </row>
    <row r="324" spans="1:18" ht="39" customHeight="1" x14ac:dyDescent="0.15">
      <c r="A324" s="12">
        <f t="shared" si="1"/>
        <v>318</v>
      </c>
      <c r="B324" s="13" t="s">
        <v>781</v>
      </c>
      <c r="C324" s="6">
        <v>0.49</v>
      </c>
      <c r="D324" s="14">
        <v>0.49</v>
      </c>
      <c r="E324" s="15" t="s">
        <v>840</v>
      </c>
      <c r="F324" s="6"/>
      <c r="G324" s="21"/>
      <c r="H324" s="12"/>
      <c r="I324" s="12"/>
      <c r="J324" s="12"/>
      <c r="K324" s="18"/>
      <c r="M324" s="19">
        <v>0</v>
      </c>
      <c r="N324" s="20"/>
      <c r="Q324" s="2"/>
      <c r="R324" s="2"/>
    </row>
    <row r="325" spans="1:18" ht="39" customHeight="1" x14ac:dyDescent="0.15">
      <c r="A325" s="12">
        <f t="shared" si="1"/>
        <v>319</v>
      </c>
      <c r="B325" s="13" t="s">
        <v>782</v>
      </c>
      <c r="C325" s="6">
        <v>0.48</v>
      </c>
      <c r="D325" s="14">
        <v>34362.480000000003</v>
      </c>
      <c r="E325" s="15" t="s">
        <v>840</v>
      </c>
      <c r="F325" s="6"/>
      <c r="G325" s="12"/>
      <c r="H325" s="12"/>
      <c r="I325" s="12"/>
      <c r="J325" s="12"/>
      <c r="K325" s="18"/>
      <c r="M325" s="19">
        <v>34362</v>
      </c>
      <c r="N325" s="20"/>
      <c r="Q325" s="2"/>
      <c r="R325" s="2"/>
    </row>
    <row r="326" spans="1:18" ht="39" customHeight="1" x14ac:dyDescent="0.15">
      <c r="A326" s="12">
        <f t="shared" si="1"/>
        <v>320</v>
      </c>
      <c r="B326" s="13" t="s">
        <v>783</v>
      </c>
      <c r="C326" s="6">
        <v>0.47000000000000003</v>
      </c>
      <c r="D326" s="14">
        <v>1241733.1599999999</v>
      </c>
      <c r="E326" s="15" t="s">
        <v>840</v>
      </c>
      <c r="F326" s="6"/>
      <c r="G326" s="21"/>
      <c r="H326" s="12"/>
      <c r="I326" s="12"/>
      <c r="J326" s="12"/>
      <c r="K326" s="18"/>
      <c r="M326" s="19">
        <v>4885737</v>
      </c>
      <c r="N326" s="20"/>
      <c r="Q326" s="2"/>
      <c r="R326" s="2"/>
    </row>
    <row r="327" spans="1:18" ht="39" customHeight="1" x14ac:dyDescent="0.15">
      <c r="A327" s="12">
        <f t="shared" si="1"/>
        <v>321</v>
      </c>
      <c r="B327" s="13" t="s">
        <v>784</v>
      </c>
      <c r="C327" s="6">
        <v>0.47000000000000003</v>
      </c>
      <c r="D327" s="14">
        <v>0.47000000000000003</v>
      </c>
      <c r="E327" s="15" t="s">
        <v>840</v>
      </c>
      <c r="F327" s="6"/>
      <c r="G327" s="21"/>
      <c r="H327" s="12"/>
      <c r="I327" s="12"/>
      <c r="J327" s="12"/>
      <c r="K327" s="18"/>
      <c r="M327" s="19">
        <v>0</v>
      </c>
      <c r="N327" s="20"/>
      <c r="Q327" s="2"/>
      <c r="R327" s="2"/>
    </row>
    <row r="328" spans="1:18" ht="39" customHeight="1" x14ac:dyDescent="0.15">
      <c r="A328" s="12">
        <f t="shared" si="1"/>
        <v>322</v>
      </c>
      <c r="B328" s="13" t="s">
        <v>785</v>
      </c>
      <c r="C328" s="6">
        <v>0.46</v>
      </c>
      <c r="D328" s="14">
        <v>57106.46</v>
      </c>
      <c r="E328" s="15" t="s">
        <v>840</v>
      </c>
      <c r="F328" s="6"/>
      <c r="G328" s="12"/>
      <c r="H328" s="12"/>
      <c r="I328" s="12"/>
      <c r="J328" s="12"/>
      <c r="K328" s="18"/>
      <c r="M328" s="19">
        <v>57106</v>
      </c>
      <c r="N328" s="20"/>
      <c r="Q328" s="2"/>
      <c r="R328" s="2"/>
    </row>
    <row r="329" spans="1:18" ht="39" customHeight="1" x14ac:dyDescent="0.15">
      <c r="A329" s="12">
        <f t="shared" si="1"/>
        <v>323</v>
      </c>
      <c r="B329" s="13" t="s">
        <v>786</v>
      </c>
      <c r="C329" s="6">
        <v>0.42</v>
      </c>
      <c r="D329" s="14">
        <v>299186.42</v>
      </c>
      <c r="E329" s="15" t="s">
        <v>840</v>
      </c>
      <c r="F329" s="6"/>
      <c r="G329" s="12"/>
      <c r="H329" s="12"/>
      <c r="I329" s="12"/>
      <c r="J329" s="12"/>
      <c r="K329" s="18"/>
      <c r="M329" s="19">
        <v>299186</v>
      </c>
      <c r="N329" s="20"/>
      <c r="Q329" s="2"/>
      <c r="R329" s="2"/>
    </row>
    <row r="330" spans="1:18" ht="39" customHeight="1" x14ac:dyDescent="0.15">
      <c r="A330" s="12">
        <f t="shared" si="1"/>
        <v>324</v>
      </c>
      <c r="B330" s="13" t="s">
        <v>787</v>
      </c>
      <c r="C330" s="6">
        <v>0.4</v>
      </c>
      <c r="D330" s="14">
        <v>0.4</v>
      </c>
      <c r="E330" s="15" t="s">
        <v>840</v>
      </c>
      <c r="F330" s="6"/>
      <c r="G330" s="12"/>
      <c r="H330" s="12"/>
      <c r="I330" s="12"/>
      <c r="J330" s="12"/>
      <c r="K330" s="18"/>
      <c r="M330" s="19">
        <v>0</v>
      </c>
      <c r="N330" s="20"/>
      <c r="Q330" s="2"/>
      <c r="R330" s="2"/>
    </row>
    <row r="331" spans="1:18" ht="39" customHeight="1" x14ac:dyDescent="0.15">
      <c r="A331" s="12">
        <f t="shared" si="1"/>
        <v>325</v>
      </c>
      <c r="B331" s="13" t="s">
        <v>788</v>
      </c>
      <c r="C331" s="6">
        <v>0.39</v>
      </c>
      <c r="D331" s="14">
        <v>250953.39</v>
      </c>
      <c r="E331" s="15" t="s">
        <v>840</v>
      </c>
      <c r="F331" s="6"/>
      <c r="G331" s="12"/>
      <c r="H331" s="12"/>
      <c r="I331" s="12"/>
      <c r="J331" s="12"/>
      <c r="K331" s="18"/>
      <c r="M331" s="19">
        <v>215753</v>
      </c>
      <c r="N331" s="20"/>
      <c r="Q331" s="2"/>
      <c r="R331" s="2"/>
    </row>
    <row r="332" spans="1:18" ht="39" customHeight="1" x14ac:dyDescent="0.15">
      <c r="A332" s="12">
        <f t="shared" si="1"/>
        <v>326</v>
      </c>
      <c r="B332" s="13" t="s">
        <v>789</v>
      </c>
      <c r="C332" s="6">
        <v>0.23</v>
      </c>
      <c r="D332" s="14">
        <v>0.23</v>
      </c>
      <c r="E332" s="15" t="s">
        <v>840</v>
      </c>
      <c r="F332" s="6"/>
      <c r="G332" s="12"/>
      <c r="H332" s="12"/>
      <c r="I332" s="12"/>
      <c r="J332" s="12"/>
      <c r="K332" s="18"/>
      <c r="M332" s="19">
        <v>0</v>
      </c>
      <c r="N332" s="20"/>
      <c r="Q332" s="2"/>
      <c r="R332" s="2"/>
    </row>
    <row r="333" spans="1:18" ht="39" customHeight="1" x14ac:dyDescent="0.15">
      <c r="A333" s="12">
        <f t="shared" si="1"/>
        <v>327</v>
      </c>
      <c r="B333" s="13" t="s">
        <v>790</v>
      </c>
      <c r="C333" s="6">
        <v>0.21</v>
      </c>
      <c r="D333" s="14">
        <v>0.21</v>
      </c>
      <c r="E333" s="15" t="s">
        <v>840</v>
      </c>
      <c r="F333" s="6"/>
      <c r="G333" s="21"/>
      <c r="H333" s="12"/>
      <c r="I333" s="12"/>
      <c r="J333" s="17"/>
      <c r="K333" s="18"/>
      <c r="M333" s="19">
        <v>0</v>
      </c>
      <c r="N333" s="20"/>
      <c r="Q333" s="2"/>
      <c r="R333" s="2"/>
    </row>
    <row r="334" spans="1:18" ht="39" customHeight="1" x14ac:dyDescent="0.15">
      <c r="A334" s="12">
        <f t="shared" si="1"/>
        <v>328</v>
      </c>
      <c r="B334" s="13" t="s">
        <v>791</v>
      </c>
      <c r="C334" s="6">
        <v>0.11</v>
      </c>
      <c r="D334" s="14">
        <v>0</v>
      </c>
      <c r="E334" s="15" t="s">
        <v>840</v>
      </c>
      <c r="F334" s="6"/>
      <c r="G334" s="12"/>
      <c r="H334" s="12"/>
      <c r="I334" s="12"/>
      <c r="J334" s="12"/>
      <c r="K334" s="18"/>
      <c r="M334" s="19">
        <v>235852</v>
      </c>
      <c r="N334" s="20"/>
      <c r="Q334" s="2"/>
      <c r="R334" s="2"/>
    </row>
    <row r="335" spans="1:18" ht="39" customHeight="1" x14ac:dyDescent="0.15">
      <c r="A335" s="12">
        <f t="shared" si="1"/>
        <v>329</v>
      </c>
      <c r="B335" s="13" t="s">
        <v>792</v>
      </c>
      <c r="C335" s="6">
        <v>0.09</v>
      </c>
      <c r="D335" s="14">
        <v>0.09</v>
      </c>
      <c r="E335" s="15" t="s">
        <v>840</v>
      </c>
      <c r="F335" s="6"/>
      <c r="G335" s="12"/>
      <c r="H335" s="12"/>
      <c r="I335" s="12"/>
      <c r="J335" s="12"/>
      <c r="K335" s="18"/>
      <c r="M335" s="19">
        <v>0</v>
      </c>
      <c r="N335" s="20"/>
      <c r="Q335" s="2"/>
      <c r="R335" s="2"/>
    </row>
    <row r="336" spans="1:18" ht="39" customHeight="1" x14ac:dyDescent="0.15">
      <c r="A336" s="12">
        <f t="shared" si="1"/>
        <v>330</v>
      </c>
      <c r="B336" s="13" t="s">
        <v>793</v>
      </c>
      <c r="C336" s="6">
        <v>-0.01</v>
      </c>
      <c r="D336" s="14">
        <v>-0.01</v>
      </c>
      <c r="E336" s="15" t="s">
        <v>840</v>
      </c>
      <c r="F336" s="6"/>
      <c r="G336" s="12"/>
      <c r="H336" s="12"/>
      <c r="I336" s="12"/>
      <c r="J336" s="12"/>
      <c r="K336" s="18"/>
      <c r="M336" s="19">
        <v>0</v>
      </c>
      <c r="N336" s="20"/>
      <c r="Q336" s="2"/>
      <c r="R336" s="2"/>
    </row>
    <row r="337" spans="1:18" ht="39" customHeight="1" x14ac:dyDescent="0.15">
      <c r="A337" s="12">
        <f t="shared" si="1"/>
        <v>331</v>
      </c>
      <c r="B337" s="13" t="s">
        <v>794</v>
      </c>
      <c r="C337" s="6">
        <v>-0.08</v>
      </c>
      <c r="D337" s="14">
        <v>-0.08</v>
      </c>
      <c r="E337" s="15" t="s">
        <v>840</v>
      </c>
      <c r="F337" s="6"/>
      <c r="G337" s="12"/>
      <c r="H337" s="12"/>
      <c r="I337" s="12"/>
      <c r="J337" s="12"/>
      <c r="K337" s="18"/>
      <c r="M337" s="19">
        <v>0</v>
      </c>
      <c r="N337" s="20"/>
      <c r="Q337" s="2"/>
      <c r="R337" s="2"/>
    </row>
    <row r="338" spans="1:18" ht="39" customHeight="1" x14ac:dyDescent="0.15">
      <c r="A338" s="12">
        <f t="shared" si="1"/>
        <v>332</v>
      </c>
      <c r="B338" s="13" t="s">
        <v>795</v>
      </c>
      <c r="C338" s="6">
        <v>-0.1</v>
      </c>
      <c r="D338" s="14">
        <v>-0.1</v>
      </c>
      <c r="E338" s="15" t="s">
        <v>840</v>
      </c>
      <c r="F338" s="6"/>
      <c r="G338" s="12"/>
      <c r="H338" s="12"/>
      <c r="I338" s="12"/>
      <c r="J338" s="12"/>
      <c r="K338" s="18"/>
      <c r="M338" s="19">
        <v>0</v>
      </c>
      <c r="N338" s="20"/>
      <c r="Q338" s="2"/>
      <c r="R338" s="2"/>
    </row>
    <row r="339" spans="1:18" ht="39" customHeight="1" x14ac:dyDescent="0.15">
      <c r="A339" s="12">
        <f t="shared" si="1"/>
        <v>333</v>
      </c>
      <c r="B339" s="13" t="s">
        <v>796</v>
      </c>
      <c r="C339" s="6">
        <v>-0.26</v>
      </c>
      <c r="D339" s="14">
        <v>-0.26</v>
      </c>
      <c r="E339" s="15" t="s">
        <v>840</v>
      </c>
      <c r="F339" s="6"/>
      <c r="G339" s="12"/>
      <c r="H339" s="12"/>
      <c r="I339" s="12"/>
      <c r="J339" s="12"/>
      <c r="K339" s="18"/>
      <c r="M339" s="19">
        <v>0</v>
      </c>
      <c r="N339" s="20"/>
      <c r="Q339" s="2"/>
      <c r="R339" s="2"/>
    </row>
    <row r="340" spans="1:18" ht="39" customHeight="1" x14ac:dyDescent="0.15">
      <c r="A340" s="12">
        <f t="shared" si="1"/>
        <v>334</v>
      </c>
      <c r="B340" s="13" t="s">
        <v>797</v>
      </c>
      <c r="C340" s="6">
        <v>-0.27</v>
      </c>
      <c r="D340" s="14">
        <v>4240.7299999999996</v>
      </c>
      <c r="E340" s="15" t="s">
        <v>840</v>
      </c>
      <c r="F340" s="6"/>
      <c r="G340" s="12"/>
      <c r="H340" s="12"/>
      <c r="I340" s="12"/>
      <c r="J340" s="12"/>
      <c r="K340" s="18"/>
      <c r="M340" s="19">
        <v>4241</v>
      </c>
      <c r="N340" s="20"/>
      <c r="Q340" s="2"/>
      <c r="R340" s="2"/>
    </row>
    <row r="341" spans="1:18" ht="39" customHeight="1" x14ac:dyDescent="0.15">
      <c r="A341" s="12">
        <f t="shared" si="1"/>
        <v>335</v>
      </c>
      <c r="B341" s="13" t="s">
        <v>798</v>
      </c>
      <c r="C341" s="6">
        <v>-0.33</v>
      </c>
      <c r="D341" s="14">
        <v>-0.33</v>
      </c>
      <c r="E341" s="15" t="s">
        <v>840</v>
      </c>
      <c r="F341" s="6"/>
      <c r="G341" s="12"/>
      <c r="H341" s="12"/>
      <c r="I341" s="12"/>
      <c r="J341" s="12"/>
      <c r="K341" s="18"/>
      <c r="M341" s="19">
        <v>0</v>
      </c>
      <c r="N341" s="20"/>
      <c r="Q341" s="2"/>
      <c r="R341" s="2"/>
    </row>
    <row r="342" spans="1:18" ht="39" customHeight="1" thickBot="1" x14ac:dyDescent="0.2">
      <c r="A342" s="12">
        <f t="shared" si="1"/>
        <v>336</v>
      </c>
      <c r="B342" s="13" t="s">
        <v>799</v>
      </c>
      <c r="C342" s="6">
        <v>-0.33</v>
      </c>
      <c r="D342" s="14">
        <v>-0.33</v>
      </c>
      <c r="E342" s="15" t="s">
        <v>840</v>
      </c>
      <c r="F342" s="6"/>
      <c r="G342" s="12"/>
      <c r="H342" s="12"/>
      <c r="I342" s="12"/>
      <c r="J342" s="12"/>
      <c r="K342" s="18"/>
      <c r="M342" s="19">
        <v>0</v>
      </c>
      <c r="N342" s="20"/>
      <c r="Q342" s="2"/>
      <c r="R342" s="2"/>
    </row>
    <row r="343" spans="1:18" ht="39" customHeight="1" thickBot="1" x14ac:dyDescent="0.2">
      <c r="A343" s="12">
        <f t="shared" si="1"/>
        <v>337</v>
      </c>
      <c r="B343" s="13" t="s">
        <v>800</v>
      </c>
      <c r="C343" s="6">
        <v>-0.55000000000000004</v>
      </c>
      <c r="D343" s="14">
        <v>-0.55000000000000004</v>
      </c>
      <c r="E343" s="26" t="s">
        <v>838</v>
      </c>
      <c r="F343" s="6"/>
      <c r="G343" s="12"/>
      <c r="H343" s="12"/>
      <c r="I343" s="12"/>
      <c r="J343" s="12"/>
      <c r="K343" s="18"/>
      <c r="M343" s="19">
        <v>0</v>
      </c>
      <c r="N343" s="20"/>
      <c r="Q343" s="2"/>
      <c r="R343" s="2"/>
    </row>
    <row r="344" spans="1:18" ht="39" customHeight="1" thickBot="1" x14ac:dyDescent="0.2">
      <c r="A344" s="12">
        <f t="shared" si="1"/>
        <v>338</v>
      </c>
      <c r="B344" s="13" t="s">
        <v>801</v>
      </c>
      <c r="C344" s="6">
        <v>-1</v>
      </c>
      <c r="D344" s="14">
        <v>-1</v>
      </c>
      <c r="E344" s="26" t="s">
        <v>838</v>
      </c>
      <c r="F344" s="6"/>
      <c r="G344" s="12"/>
      <c r="H344" s="12"/>
      <c r="I344" s="12"/>
      <c r="J344" s="12"/>
      <c r="K344" s="18"/>
      <c r="M344" s="19">
        <v>0</v>
      </c>
      <c r="N344" s="20"/>
      <c r="Q344" s="2"/>
      <c r="R344" s="2"/>
    </row>
    <row r="345" spans="1:18" ht="39" customHeight="1" thickBot="1" x14ac:dyDescent="0.2">
      <c r="A345" s="12">
        <f t="shared" si="1"/>
        <v>339</v>
      </c>
      <c r="B345" s="13" t="s">
        <v>802</v>
      </c>
      <c r="C345" s="6">
        <v>-1</v>
      </c>
      <c r="D345" s="14">
        <v>-1</v>
      </c>
      <c r="E345" s="26" t="s">
        <v>838</v>
      </c>
      <c r="F345" s="6"/>
      <c r="G345" s="12"/>
      <c r="H345" s="12"/>
      <c r="I345" s="12"/>
      <c r="J345" s="12"/>
      <c r="K345" s="18"/>
      <c r="M345" s="19">
        <v>0</v>
      </c>
      <c r="N345" s="20"/>
      <c r="Q345" s="2"/>
      <c r="R345" s="2"/>
    </row>
    <row r="346" spans="1:18" ht="39" customHeight="1" thickBot="1" x14ac:dyDescent="0.2">
      <c r="A346" s="12">
        <f t="shared" si="1"/>
        <v>340</v>
      </c>
      <c r="B346" s="13" t="s">
        <v>803</v>
      </c>
      <c r="C346" s="6">
        <v>-1.28</v>
      </c>
      <c r="D346" s="14">
        <v>-1.28</v>
      </c>
      <c r="E346" s="26" t="s">
        <v>838</v>
      </c>
      <c r="F346" s="6"/>
      <c r="G346" s="12"/>
      <c r="H346" s="12"/>
      <c r="I346" s="12"/>
      <c r="J346" s="12"/>
      <c r="K346" s="18"/>
      <c r="M346" s="19">
        <v>0</v>
      </c>
      <c r="N346" s="20"/>
      <c r="Q346" s="2"/>
      <c r="R346" s="2"/>
    </row>
    <row r="347" spans="1:18" ht="39" customHeight="1" thickBot="1" x14ac:dyDescent="0.2">
      <c r="A347" s="12">
        <f t="shared" si="1"/>
        <v>341</v>
      </c>
      <c r="B347" s="13" t="s">
        <v>804</v>
      </c>
      <c r="C347" s="6">
        <v>-7.82</v>
      </c>
      <c r="D347" s="14">
        <v>-7.82</v>
      </c>
      <c r="E347" s="26" t="s">
        <v>838</v>
      </c>
      <c r="F347" s="6"/>
      <c r="G347" s="12"/>
      <c r="H347" s="12"/>
      <c r="I347" s="12"/>
      <c r="J347" s="12"/>
      <c r="K347" s="18"/>
      <c r="M347" s="19">
        <v>0</v>
      </c>
      <c r="N347" s="20"/>
      <c r="Q347" s="2"/>
      <c r="R347" s="2"/>
    </row>
    <row r="348" spans="1:18" ht="39" customHeight="1" thickBot="1" x14ac:dyDescent="0.2">
      <c r="A348" s="12">
        <f t="shared" si="1"/>
        <v>342</v>
      </c>
      <c r="B348" s="13" t="s">
        <v>805</v>
      </c>
      <c r="C348" s="6">
        <v>-7.82</v>
      </c>
      <c r="D348" s="14">
        <v>-7.17</v>
      </c>
      <c r="E348" s="26" t="s">
        <v>838</v>
      </c>
      <c r="F348" s="6"/>
      <c r="G348" s="12"/>
      <c r="H348" s="12"/>
      <c r="I348" s="12"/>
      <c r="J348" s="12"/>
      <c r="K348" s="18"/>
      <c r="M348" s="19">
        <v>0.65</v>
      </c>
      <c r="N348" s="20"/>
      <c r="Q348" s="2"/>
      <c r="R348" s="2"/>
    </row>
    <row r="349" spans="1:18" ht="39" customHeight="1" thickBot="1" x14ac:dyDescent="0.2">
      <c r="A349" s="12">
        <f t="shared" si="1"/>
        <v>343</v>
      </c>
      <c r="B349" s="13" t="s">
        <v>806</v>
      </c>
      <c r="C349" s="6">
        <v>-17.489999999999998</v>
      </c>
      <c r="D349" s="14">
        <v>-17.489999999999998</v>
      </c>
      <c r="E349" s="26" t="s">
        <v>838</v>
      </c>
      <c r="F349" s="6"/>
      <c r="G349" s="12"/>
      <c r="H349" s="12"/>
      <c r="I349" s="12"/>
      <c r="J349" s="12"/>
      <c r="K349" s="18"/>
      <c r="M349" s="19">
        <v>0</v>
      </c>
      <c r="N349" s="20"/>
      <c r="Q349" s="2"/>
      <c r="R349" s="2"/>
    </row>
    <row r="350" spans="1:18" ht="39" customHeight="1" thickBot="1" x14ac:dyDescent="0.2">
      <c r="A350" s="12">
        <f t="shared" si="1"/>
        <v>344</v>
      </c>
      <c r="B350" s="13" t="s">
        <v>807</v>
      </c>
      <c r="C350" s="6">
        <v>-28</v>
      </c>
      <c r="D350" s="14">
        <v>-28</v>
      </c>
      <c r="E350" s="26" t="s">
        <v>838</v>
      </c>
      <c r="F350" s="6"/>
      <c r="G350" s="12"/>
      <c r="H350" s="12"/>
      <c r="I350" s="12"/>
      <c r="J350" s="12"/>
      <c r="K350" s="18"/>
      <c r="M350" s="19">
        <v>0</v>
      </c>
      <c r="N350" s="20"/>
      <c r="Q350" s="2"/>
      <c r="R350" s="2"/>
    </row>
    <row r="351" spans="1:18" ht="39" customHeight="1" thickBot="1" x14ac:dyDescent="0.2">
      <c r="A351" s="12">
        <f t="shared" si="1"/>
        <v>345</v>
      </c>
      <c r="B351" s="13" t="s">
        <v>808</v>
      </c>
      <c r="C351" s="6">
        <v>-28.44</v>
      </c>
      <c r="D351" s="14">
        <v>-28.44</v>
      </c>
      <c r="E351" s="26" t="s">
        <v>838</v>
      </c>
      <c r="F351" s="6"/>
      <c r="G351" s="12"/>
      <c r="H351" s="12"/>
      <c r="I351" s="12"/>
      <c r="J351" s="12"/>
      <c r="K351" s="18"/>
      <c r="M351" s="19">
        <v>0</v>
      </c>
      <c r="N351" s="20"/>
      <c r="Q351" s="2"/>
      <c r="R351" s="2"/>
    </row>
    <row r="352" spans="1:18" ht="39" customHeight="1" thickBot="1" x14ac:dyDescent="0.2">
      <c r="A352" s="12">
        <f t="shared" si="1"/>
        <v>346</v>
      </c>
      <c r="B352" s="13" t="s">
        <v>809</v>
      </c>
      <c r="C352" s="6">
        <v>-99.13</v>
      </c>
      <c r="D352" s="14">
        <v>865501.87</v>
      </c>
      <c r="E352" s="26" t="s">
        <v>838</v>
      </c>
      <c r="F352" s="6"/>
      <c r="G352" s="12"/>
      <c r="H352" s="12"/>
      <c r="I352" s="12"/>
      <c r="J352" s="12"/>
      <c r="K352" s="18"/>
      <c r="M352" s="19">
        <v>1304251</v>
      </c>
      <c r="N352" s="20"/>
      <c r="Q352" s="2"/>
      <c r="R352" s="2"/>
    </row>
    <row r="353" spans="1:18" ht="39" customHeight="1" thickBot="1" x14ac:dyDescent="0.2">
      <c r="A353" s="12">
        <f t="shared" si="1"/>
        <v>347</v>
      </c>
      <c r="B353" s="13" t="s">
        <v>810</v>
      </c>
      <c r="C353" s="6">
        <v>-99.27</v>
      </c>
      <c r="D353" s="14">
        <v>-99.27</v>
      </c>
      <c r="E353" s="26" t="s">
        <v>838</v>
      </c>
      <c r="F353" s="6"/>
      <c r="G353" s="12"/>
      <c r="H353" s="12"/>
      <c r="I353" s="12"/>
      <c r="J353" s="12"/>
      <c r="K353" s="18"/>
      <c r="M353" s="19">
        <v>0</v>
      </c>
      <c r="N353" s="20"/>
      <c r="Q353" s="2"/>
      <c r="R353" s="2"/>
    </row>
    <row r="354" spans="1:18" ht="39" customHeight="1" thickBot="1" x14ac:dyDescent="0.2">
      <c r="A354" s="12">
        <f t="shared" si="1"/>
        <v>348</v>
      </c>
      <c r="B354" s="13" t="s">
        <v>811</v>
      </c>
      <c r="C354" s="6">
        <v>-180</v>
      </c>
      <c r="D354" s="14">
        <v>-180</v>
      </c>
      <c r="E354" s="26" t="s">
        <v>838</v>
      </c>
      <c r="F354" s="6"/>
      <c r="G354" s="12"/>
      <c r="H354" s="12"/>
      <c r="I354" s="12"/>
      <c r="J354" s="12"/>
      <c r="K354" s="18"/>
      <c r="M354" s="19">
        <v>0</v>
      </c>
      <c r="N354" s="20"/>
      <c r="Q354" s="2"/>
      <c r="R354" s="2"/>
    </row>
    <row r="355" spans="1:18" ht="39" customHeight="1" thickBot="1" x14ac:dyDescent="0.2">
      <c r="A355" s="12">
        <f t="shared" si="1"/>
        <v>349</v>
      </c>
      <c r="B355" s="13" t="s">
        <v>812</v>
      </c>
      <c r="C355" s="6">
        <v>-300.08</v>
      </c>
      <c r="D355" s="14">
        <v>32499.920000000002</v>
      </c>
      <c r="E355" s="26" t="s">
        <v>838</v>
      </c>
      <c r="F355" s="6"/>
      <c r="G355" s="12"/>
      <c r="H355" s="12"/>
      <c r="I355" s="12"/>
      <c r="J355" s="12"/>
      <c r="K355" s="18"/>
      <c r="M355" s="19">
        <v>16000</v>
      </c>
      <c r="N355" s="20"/>
      <c r="Q355" s="2"/>
      <c r="R355" s="2"/>
    </row>
    <row r="356" spans="1:18" ht="39" customHeight="1" thickBot="1" x14ac:dyDescent="0.2">
      <c r="A356" s="12">
        <f t="shared" si="1"/>
        <v>350</v>
      </c>
      <c r="B356" s="13" t="s">
        <v>813</v>
      </c>
      <c r="C356" s="6">
        <v>-339.81</v>
      </c>
      <c r="D356" s="14">
        <v>-339.81</v>
      </c>
      <c r="E356" s="26" t="s">
        <v>838</v>
      </c>
      <c r="F356" s="6"/>
      <c r="G356" s="12"/>
      <c r="H356" s="12"/>
      <c r="I356" s="12"/>
      <c r="J356" s="12"/>
      <c r="K356" s="18"/>
      <c r="M356" s="19">
        <v>0</v>
      </c>
      <c r="N356" s="20"/>
      <c r="Q356" s="2"/>
      <c r="R356" s="2"/>
    </row>
    <row r="357" spans="1:18" ht="39" customHeight="1" thickBot="1" x14ac:dyDescent="0.2">
      <c r="A357" s="12">
        <f t="shared" si="1"/>
        <v>351</v>
      </c>
      <c r="B357" s="13" t="s">
        <v>814</v>
      </c>
      <c r="C357" s="6">
        <v>-346</v>
      </c>
      <c r="D357" s="14">
        <v>-346</v>
      </c>
      <c r="E357" s="26" t="s">
        <v>838</v>
      </c>
      <c r="F357" s="6"/>
      <c r="G357" s="12"/>
      <c r="H357" s="12"/>
      <c r="I357" s="12"/>
      <c r="J357" s="12"/>
      <c r="K357" s="18"/>
      <c r="M357" s="19">
        <v>0</v>
      </c>
      <c r="N357" s="20"/>
      <c r="Q357" s="2"/>
      <c r="R357" s="2"/>
    </row>
    <row r="358" spans="1:18" ht="39" customHeight="1" thickBot="1" x14ac:dyDescent="0.2">
      <c r="A358" s="12">
        <f t="shared" si="1"/>
        <v>352</v>
      </c>
      <c r="B358" s="13" t="s">
        <v>815</v>
      </c>
      <c r="C358" s="6">
        <v>-350.95</v>
      </c>
      <c r="D358" s="14">
        <v>-350.95</v>
      </c>
      <c r="E358" s="26" t="s">
        <v>838</v>
      </c>
      <c r="F358" s="6"/>
      <c r="G358" s="12"/>
      <c r="H358" s="12"/>
      <c r="I358" s="12"/>
      <c r="J358" s="12"/>
      <c r="K358" s="18"/>
      <c r="M358" s="19">
        <v>0</v>
      </c>
      <c r="N358" s="20"/>
      <c r="Q358" s="2"/>
      <c r="R358" s="2"/>
    </row>
    <row r="359" spans="1:18" ht="39" customHeight="1" thickBot="1" x14ac:dyDescent="0.2">
      <c r="A359" s="12">
        <f t="shared" si="1"/>
        <v>353</v>
      </c>
      <c r="B359" s="13" t="s">
        <v>816</v>
      </c>
      <c r="C359" s="6">
        <v>-524.47</v>
      </c>
      <c r="D359" s="14">
        <v>-524.47</v>
      </c>
      <c r="E359" s="26" t="s">
        <v>838</v>
      </c>
      <c r="F359" s="6"/>
      <c r="G359" s="12"/>
      <c r="H359" s="12"/>
      <c r="I359" s="12"/>
      <c r="J359" s="12"/>
      <c r="K359" s="18"/>
      <c r="M359" s="19">
        <v>0</v>
      </c>
      <c r="N359" s="20"/>
      <c r="Q359" s="2"/>
      <c r="R359" s="2"/>
    </row>
    <row r="360" spans="1:18" ht="39" customHeight="1" thickBot="1" x14ac:dyDescent="0.2">
      <c r="A360" s="12">
        <f t="shared" si="1"/>
        <v>354</v>
      </c>
      <c r="B360" s="13" t="s">
        <v>817</v>
      </c>
      <c r="C360" s="6">
        <v>-775</v>
      </c>
      <c r="D360" s="14">
        <v>-775</v>
      </c>
      <c r="E360" s="26" t="s">
        <v>838</v>
      </c>
      <c r="F360" s="6"/>
      <c r="G360" s="12"/>
      <c r="H360" s="12"/>
      <c r="I360" s="12"/>
      <c r="J360" s="12"/>
      <c r="K360" s="18"/>
      <c r="M360" s="19">
        <v>0</v>
      </c>
      <c r="N360" s="20"/>
      <c r="Q360" s="2"/>
      <c r="R360" s="2"/>
    </row>
    <row r="361" spans="1:18" ht="39" customHeight="1" thickBot="1" x14ac:dyDescent="0.2">
      <c r="A361" s="12">
        <f t="shared" si="1"/>
        <v>355</v>
      </c>
      <c r="B361" s="13" t="s">
        <v>818</v>
      </c>
      <c r="C361" s="6">
        <v>-3332.96</v>
      </c>
      <c r="D361" s="14">
        <v>-3332.96</v>
      </c>
      <c r="E361" s="26" t="s">
        <v>838</v>
      </c>
      <c r="F361" s="6"/>
      <c r="G361" s="12"/>
      <c r="H361" s="12"/>
      <c r="I361" s="12"/>
      <c r="J361" s="12"/>
      <c r="K361" s="18"/>
      <c r="M361" s="19">
        <v>0</v>
      </c>
      <c r="N361" s="20"/>
      <c r="Q361" s="2"/>
      <c r="R361" s="2"/>
    </row>
    <row r="362" spans="1:18" ht="39" customHeight="1" thickBot="1" x14ac:dyDescent="0.2">
      <c r="A362" s="12">
        <f t="shared" si="1"/>
        <v>356</v>
      </c>
      <c r="B362" s="13" t="s">
        <v>819</v>
      </c>
      <c r="C362" s="6">
        <v>-3362</v>
      </c>
      <c r="D362" s="14">
        <v>-3362</v>
      </c>
      <c r="E362" s="26" t="s">
        <v>838</v>
      </c>
      <c r="F362" s="6"/>
      <c r="G362" s="12"/>
      <c r="H362" s="12"/>
      <c r="I362" s="12"/>
      <c r="J362" s="12"/>
      <c r="K362" s="18"/>
      <c r="M362" s="19">
        <v>0</v>
      </c>
      <c r="N362" s="20"/>
      <c r="Q362" s="2"/>
      <c r="R362" s="2"/>
    </row>
    <row r="363" spans="1:18" ht="39" customHeight="1" thickBot="1" x14ac:dyDescent="0.2">
      <c r="A363" s="12">
        <f t="shared" si="1"/>
        <v>357</v>
      </c>
      <c r="B363" s="13" t="s">
        <v>820</v>
      </c>
      <c r="C363" s="6">
        <v>-3688.4</v>
      </c>
      <c r="D363" s="14">
        <v>-3688.4</v>
      </c>
      <c r="E363" s="26" t="s">
        <v>838</v>
      </c>
      <c r="F363" s="6"/>
      <c r="G363" s="12"/>
      <c r="H363" s="12"/>
      <c r="I363" s="12"/>
      <c r="J363" s="12"/>
      <c r="K363" s="18"/>
      <c r="M363" s="19">
        <v>0</v>
      </c>
      <c r="N363" s="20"/>
      <c r="Q363" s="2"/>
      <c r="R363" s="2"/>
    </row>
    <row r="364" spans="1:18" ht="39" customHeight="1" thickBot="1" x14ac:dyDescent="0.2">
      <c r="A364" s="12">
        <f t="shared" si="1"/>
        <v>358</v>
      </c>
      <c r="B364" s="13" t="s">
        <v>821</v>
      </c>
      <c r="C364" s="6">
        <v>-4363.59</v>
      </c>
      <c r="D364" s="14">
        <v>-4363.59</v>
      </c>
      <c r="E364" s="26" t="s">
        <v>838</v>
      </c>
      <c r="F364" s="6"/>
      <c r="G364" s="12"/>
      <c r="H364" s="12"/>
      <c r="I364" s="12"/>
      <c r="J364" s="12"/>
      <c r="K364" s="18"/>
      <c r="M364" s="19">
        <v>0</v>
      </c>
      <c r="N364" s="20"/>
      <c r="Q364" s="2"/>
      <c r="R364" s="2"/>
    </row>
    <row r="365" spans="1:18" ht="39" customHeight="1" thickBot="1" x14ac:dyDescent="0.2">
      <c r="A365" s="12">
        <f t="shared" si="1"/>
        <v>359</v>
      </c>
      <c r="B365" s="13" t="s">
        <v>822</v>
      </c>
      <c r="C365" s="6">
        <v>-4909.57</v>
      </c>
      <c r="D365" s="14">
        <v>-4909.57</v>
      </c>
      <c r="E365" s="26" t="s">
        <v>838</v>
      </c>
      <c r="F365" s="6"/>
      <c r="G365" s="12"/>
      <c r="H365" s="12"/>
      <c r="I365" s="12"/>
      <c r="J365" s="12"/>
      <c r="K365" s="18"/>
      <c r="M365" s="19">
        <v>0</v>
      </c>
      <c r="N365" s="20"/>
      <c r="Q365" s="2"/>
      <c r="R365" s="2"/>
    </row>
    <row r="366" spans="1:18" ht="39" customHeight="1" thickBot="1" x14ac:dyDescent="0.2">
      <c r="A366" s="12">
        <f t="shared" si="1"/>
        <v>360</v>
      </c>
      <c r="B366" s="13" t="s">
        <v>823</v>
      </c>
      <c r="C366" s="6">
        <v>-5471.64</v>
      </c>
      <c r="D366" s="14">
        <v>-5471.64</v>
      </c>
      <c r="E366" s="26" t="s">
        <v>838</v>
      </c>
      <c r="F366" s="6"/>
      <c r="G366" s="12"/>
      <c r="H366" s="12"/>
      <c r="I366" s="12"/>
      <c r="J366" s="12"/>
      <c r="K366" s="18"/>
      <c r="M366" s="19">
        <v>0</v>
      </c>
      <c r="N366" s="20"/>
      <c r="Q366" s="2"/>
      <c r="R366" s="2"/>
    </row>
    <row r="367" spans="1:18" ht="39" customHeight="1" thickBot="1" x14ac:dyDescent="0.2">
      <c r="A367" s="12">
        <f t="shared" si="1"/>
        <v>361</v>
      </c>
      <c r="B367" s="13" t="s">
        <v>824</v>
      </c>
      <c r="C367" s="6">
        <v>-8780.83</v>
      </c>
      <c r="D367" s="14">
        <v>349030.31</v>
      </c>
      <c r="E367" s="26" t="s">
        <v>838</v>
      </c>
      <c r="F367" s="6"/>
      <c r="G367" s="12"/>
      <c r="H367" s="12"/>
      <c r="I367" s="12"/>
      <c r="J367" s="12"/>
      <c r="K367" s="18"/>
      <c r="M367" s="19">
        <v>2388567</v>
      </c>
      <c r="N367" s="20"/>
      <c r="Q367" s="2"/>
      <c r="R367" s="2"/>
    </row>
    <row r="368" spans="1:18" ht="39" customHeight="1" thickBot="1" x14ac:dyDescent="0.2">
      <c r="A368" s="12">
        <f t="shared" si="1"/>
        <v>362</v>
      </c>
      <c r="B368" s="13" t="s">
        <v>825</v>
      </c>
      <c r="C368" s="6">
        <v>-10391.14</v>
      </c>
      <c r="D368" s="14">
        <v>-10391.14</v>
      </c>
      <c r="E368" s="26" t="s">
        <v>838</v>
      </c>
      <c r="F368" s="6"/>
      <c r="G368" s="12"/>
      <c r="H368" s="12"/>
      <c r="I368" s="12"/>
      <c r="J368" s="12"/>
      <c r="K368" s="18"/>
      <c r="M368" s="19">
        <v>0</v>
      </c>
      <c r="N368" s="20"/>
      <c r="Q368" s="2"/>
      <c r="R368" s="2"/>
    </row>
    <row r="369" spans="1:18" ht="39" customHeight="1" thickBot="1" x14ac:dyDescent="0.2">
      <c r="A369" s="12">
        <f t="shared" si="1"/>
        <v>363</v>
      </c>
      <c r="B369" s="13" t="s">
        <v>826</v>
      </c>
      <c r="C369" s="6">
        <v>-16772.72</v>
      </c>
      <c r="D369" s="14">
        <v>-16772.72</v>
      </c>
      <c r="E369" s="26" t="s">
        <v>838</v>
      </c>
      <c r="F369" s="6"/>
      <c r="G369" s="12"/>
      <c r="H369" s="12"/>
      <c r="I369" s="12"/>
      <c r="J369" s="12"/>
      <c r="K369" s="18"/>
      <c r="M369" s="19">
        <v>0</v>
      </c>
      <c r="N369" s="20"/>
      <c r="Q369" s="2"/>
      <c r="R369" s="2"/>
    </row>
    <row r="370" spans="1:18" ht="39" customHeight="1" thickBot="1" x14ac:dyDescent="0.2">
      <c r="A370" s="12">
        <f t="shared" si="1"/>
        <v>364</v>
      </c>
      <c r="B370" s="13" t="s">
        <v>827</v>
      </c>
      <c r="C370" s="6">
        <v>-28675.53</v>
      </c>
      <c r="D370" s="14">
        <v>-28675.53</v>
      </c>
      <c r="E370" s="26" t="s">
        <v>838</v>
      </c>
      <c r="F370" s="6"/>
      <c r="G370" s="12"/>
      <c r="H370" s="12"/>
      <c r="I370" s="12"/>
      <c r="J370" s="12"/>
      <c r="K370" s="18"/>
      <c r="M370" s="19">
        <v>0</v>
      </c>
      <c r="N370" s="20"/>
      <c r="Q370" s="2"/>
      <c r="R370" s="2"/>
    </row>
    <row r="371" spans="1:18" ht="39" customHeight="1" thickBot="1" x14ac:dyDescent="0.2">
      <c r="A371" s="12">
        <f t="shared" si="1"/>
        <v>365</v>
      </c>
      <c r="B371" s="13" t="s">
        <v>828</v>
      </c>
      <c r="C371" s="6">
        <v>-37668.68</v>
      </c>
      <c r="D371" s="14">
        <v>-37668.68</v>
      </c>
      <c r="E371" s="26" t="s">
        <v>838</v>
      </c>
      <c r="F371" s="6"/>
      <c r="G371" s="21"/>
      <c r="H371" s="12"/>
      <c r="I371" s="12"/>
      <c r="J371" s="12"/>
      <c r="K371" s="18"/>
      <c r="M371" s="19">
        <v>0</v>
      </c>
      <c r="N371" s="20"/>
      <c r="Q371" s="2"/>
      <c r="R371" s="2"/>
    </row>
    <row r="372" spans="1:18" ht="39" customHeight="1" thickBot="1" x14ac:dyDescent="0.2">
      <c r="A372" s="12">
        <f t="shared" si="1"/>
        <v>366</v>
      </c>
      <c r="B372" s="13" t="s">
        <v>829</v>
      </c>
      <c r="C372" s="6">
        <v>-61199.94</v>
      </c>
      <c r="D372" s="14">
        <v>2086139.06</v>
      </c>
      <c r="E372" s="26" t="s">
        <v>838</v>
      </c>
      <c r="F372" s="6"/>
      <c r="G372" s="12"/>
      <c r="H372" s="12"/>
      <c r="I372" s="12"/>
      <c r="J372" s="12"/>
      <c r="K372" s="18"/>
      <c r="M372" s="19">
        <v>3413267</v>
      </c>
      <c r="N372" s="20"/>
      <c r="Q372" s="2"/>
      <c r="R372" s="2"/>
    </row>
    <row r="373" spans="1:18" ht="39" customHeight="1" thickBot="1" x14ac:dyDescent="0.2">
      <c r="A373" s="12">
        <f t="shared" si="1"/>
        <v>367</v>
      </c>
      <c r="B373" s="13" t="s">
        <v>830</v>
      </c>
      <c r="C373" s="6">
        <v>-109048.12</v>
      </c>
      <c r="D373" s="14">
        <v>407311.88</v>
      </c>
      <c r="E373" s="26" t="s">
        <v>838</v>
      </c>
      <c r="F373" s="6"/>
      <c r="G373" s="12"/>
      <c r="H373" s="12"/>
      <c r="I373" s="12"/>
      <c r="J373" s="12"/>
      <c r="K373" s="18"/>
      <c r="M373" s="19">
        <v>516360</v>
      </c>
      <c r="N373" s="20"/>
      <c r="Q373" s="2"/>
      <c r="R373" s="2"/>
    </row>
    <row r="374" spans="1:18" ht="39" customHeight="1" thickBot="1" x14ac:dyDescent="0.2">
      <c r="A374" s="12">
        <f t="shared" si="1"/>
        <v>368</v>
      </c>
      <c r="B374" s="13" t="s">
        <v>831</v>
      </c>
      <c r="C374" s="6">
        <v>-110068.63</v>
      </c>
      <c r="D374" s="14">
        <v>-110068.63</v>
      </c>
      <c r="E374" s="26" t="s">
        <v>838</v>
      </c>
      <c r="F374" s="6"/>
      <c r="G374" s="12"/>
      <c r="H374" s="12"/>
      <c r="I374" s="12"/>
      <c r="J374" s="12"/>
      <c r="K374" s="18"/>
      <c r="M374" s="19">
        <v>0</v>
      </c>
      <c r="N374" s="20"/>
      <c r="Q374" s="2"/>
      <c r="R374" s="2"/>
    </row>
    <row r="375" spans="1:18" ht="39" customHeight="1" thickBot="1" x14ac:dyDescent="0.2">
      <c r="A375" s="12">
        <f t="shared" si="1"/>
        <v>369</v>
      </c>
      <c r="B375" s="13" t="s">
        <v>832</v>
      </c>
      <c r="C375" s="6">
        <v>-126430</v>
      </c>
      <c r="D375" s="14">
        <v>-126430</v>
      </c>
      <c r="E375" s="26" t="s">
        <v>838</v>
      </c>
      <c r="F375" s="6"/>
      <c r="G375" s="21"/>
      <c r="H375" s="12"/>
      <c r="I375" s="12"/>
      <c r="J375" s="12"/>
      <c r="K375" s="18"/>
      <c r="M375" s="19">
        <v>0</v>
      </c>
      <c r="N375" s="20"/>
      <c r="Q375" s="2"/>
      <c r="R375" s="2"/>
    </row>
    <row r="376" spans="1:18" ht="39" customHeight="1" thickBot="1" x14ac:dyDescent="0.2">
      <c r="A376" s="12">
        <f>SUBTOTAL(3,$B$7:B377)</f>
        <v>371</v>
      </c>
      <c r="B376" s="13" t="s">
        <v>833</v>
      </c>
      <c r="C376" s="6">
        <v>-144711.41</v>
      </c>
      <c r="D376" s="14">
        <v>270021.59000000003</v>
      </c>
      <c r="E376" s="26" t="s">
        <v>838</v>
      </c>
      <c r="F376" s="6"/>
      <c r="G376" s="12"/>
      <c r="H376" s="12"/>
      <c r="I376" s="12"/>
      <c r="J376" s="12"/>
      <c r="K376" s="18"/>
      <c r="M376" s="19">
        <v>0</v>
      </c>
      <c r="N376" s="20"/>
      <c r="Q376" s="2"/>
      <c r="R376" s="2"/>
    </row>
    <row r="377" spans="1:18" ht="39" customHeight="1" thickBot="1" x14ac:dyDescent="0.2">
      <c r="A377" s="12">
        <f t="shared" si="1"/>
        <v>371</v>
      </c>
      <c r="B377" s="13" t="s">
        <v>834</v>
      </c>
      <c r="C377" s="28">
        <v>-229656</v>
      </c>
      <c r="D377" s="29">
        <v>175328</v>
      </c>
      <c r="E377" s="26" t="s">
        <v>838</v>
      </c>
      <c r="F377" s="6" t="s">
        <v>464</v>
      </c>
      <c r="G377" s="30"/>
      <c r="H377" s="30"/>
      <c r="I377" s="30"/>
      <c r="J377" s="30"/>
      <c r="K377" s="18"/>
      <c r="M377" s="31"/>
      <c r="N377" s="32"/>
      <c r="Q377" s="2"/>
      <c r="R377" s="2"/>
    </row>
  </sheetData>
  <autoFilter ref="A6:J376" xr:uid="{00000000-0009-0000-0000-000001000000}"/>
  <mergeCells count="1">
    <mergeCell ref="B4:J4"/>
  </mergeCells>
  <pageMargins left="0" right="0" top="0" bottom="0" header="0" footer="0"/>
  <pageSetup paperSize="9" orientation="landscape"/>
  <rowBreaks count="7" manualBreakCount="7">
    <brk id="274" man="1"/>
    <brk id="84" man="1"/>
    <brk id="326" man="1"/>
    <brk id="299" man="1"/>
    <brk id="124" man="1"/>
    <brk id="236" man="1"/>
    <brk id="35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الاصل</vt:lpstr>
      <vt:lpstr>فرع تعز </vt:lpstr>
      <vt:lpstr>عملاء عمران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AL_ariqi</cp:lastModifiedBy>
  <cp:lastPrinted>2026-01-05T10:55:47Z</cp:lastPrinted>
  <dcterms:created xsi:type="dcterms:W3CDTF">2025-06-29T05:38:27Z</dcterms:created>
  <dcterms:modified xsi:type="dcterms:W3CDTF">2026-07-15T21:32:06Z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b1be39071fd043ef8cc6424773cbe624</vt:lpwstr>
  </property>
</Properties>
</file>